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"/>
    </mc:Choice>
  </mc:AlternateContent>
  <xr:revisionPtr revIDLastSave="0" documentId="13_ncr:1_{94D6E1FA-1211-44A0-8FE7-AB831D7AA22D}" xr6:coauthVersionLast="45" xr6:coauthVersionMax="45" xr10:uidLastSave="{00000000-0000-0000-0000-000000000000}"/>
  <bookViews>
    <workbookView xWindow="-120" yWindow="-120" windowWidth="29040" windowHeight="15840" xr2:uid="{6090FC33-9830-42F3-BE66-EC17974AE3D5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Hoja1!$A$1:$Q$89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3" l="1"/>
  <c r="G46" i="3" s="1"/>
  <c r="E46" i="3"/>
  <c r="C46" i="3"/>
  <c r="F45" i="3"/>
  <c r="G45" i="3" s="1"/>
  <c r="E45" i="3"/>
  <c r="C45" i="3"/>
  <c r="F44" i="3"/>
  <c r="G44" i="3" s="1"/>
  <c r="E44" i="3"/>
  <c r="C44" i="3"/>
  <c r="F43" i="3"/>
  <c r="G43" i="3" s="1"/>
  <c r="E43" i="3"/>
  <c r="C43" i="3"/>
  <c r="F41" i="3"/>
  <c r="G41" i="3" s="1"/>
  <c r="E41" i="3"/>
  <c r="C41" i="3"/>
  <c r="F40" i="3"/>
  <c r="G40" i="3" s="1"/>
  <c r="E40" i="3"/>
  <c r="C40" i="3"/>
  <c r="F38" i="3"/>
  <c r="G38" i="3" s="1"/>
  <c r="E38" i="3"/>
  <c r="C38" i="3"/>
  <c r="F37" i="3"/>
  <c r="G37" i="3" s="1"/>
  <c r="E37" i="3"/>
  <c r="C37" i="3"/>
  <c r="F35" i="3"/>
  <c r="G35" i="3" s="1"/>
  <c r="E35" i="3"/>
  <c r="C35" i="3"/>
  <c r="F34" i="3"/>
  <c r="G34" i="3" s="1"/>
  <c r="E34" i="3"/>
  <c r="C34" i="3"/>
  <c r="F32" i="3"/>
  <c r="G32" i="3" s="1"/>
  <c r="E32" i="3"/>
  <c r="C32" i="3"/>
  <c r="F31" i="3"/>
  <c r="G31" i="3" s="1"/>
  <c r="E31" i="3"/>
  <c r="C31" i="3"/>
  <c r="F29" i="3"/>
  <c r="G29" i="3" s="1"/>
  <c r="E29" i="3"/>
  <c r="C29" i="3"/>
  <c r="F28" i="3"/>
  <c r="G28" i="3" s="1"/>
  <c r="E28" i="3"/>
  <c r="C28" i="3"/>
  <c r="F26" i="3"/>
  <c r="G26" i="3" s="1"/>
  <c r="E26" i="3"/>
  <c r="C26" i="3"/>
  <c r="F25" i="3"/>
  <c r="G25" i="3" s="1"/>
  <c r="E25" i="3"/>
  <c r="C25" i="3"/>
  <c r="F24" i="3"/>
  <c r="G24" i="3" s="1"/>
  <c r="E24" i="3"/>
  <c r="C24" i="3"/>
  <c r="F23" i="3"/>
  <c r="G23" i="3" s="1"/>
  <c r="E23" i="3"/>
  <c r="C23" i="3"/>
  <c r="F21" i="3"/>
  <c r="G21" i="3" s="1"/>
  <c r="E21" i="3"/>
  <c r="C21" i="3"/>
  <c r="F20" i="3"/>
  <c r="G20" i="3" s="1"/>
  <c r="E20" i="3"/>
  <c r="C20" i="3"/>
  <c r="F19" i="3"/>
  <c r="G19" i="3" s="1"/>
  <c r="E19" i="3"/>
  <c r="C19" i="3"/>
  <c r="F18" i="3"/>
  <c r="G18" i="3" s="1"/>
  <c r="E18" i="3"/>
  <c r="C18" i="3"/>
  <c r="F17" i="3"/>
  <c r="G17" i="3" s="1"/>
  <c r="E17" i="3"/>
  <c r="C17" i="3"/>
  <c r="F16" i="3"/>
  <c r="G16" i="3" s="1"/>
  <c r="E16" i="3"/>
  <c r="C16" i="3"/>
  <c r="F14" i="3"/>
  <c r="G14" i="3" s="1"/>
  <c r="E14" i="3"/>
  <c r="C14" i="3"/>
  <c r="F13" i="3"/>
  <c r="G13" i="3" s="1"/>
  <c r="E13" i="3"/>
  <c r="C13" i="3"/>
  <c r="F12" i="3"/>
  <c r="G12" i="3" s="1"/>
  <c r="E12" i="3"/>
  <c r="C12" i="3"/>
  <c r="F11" i="3"/>
  <c r="G11" i="3" s="1"/>
  <c r="E11" i="3"/>
  <c r="C11" i="3"/>
  <c r="F9" i="3"/>
  <c r="G9" i="3" s="1"/>
  <c r="E9" i="3"/>
  <c r="C9" i="3"/>
  <c r="F8" i="3"/>
  <c r="G8" i="3" s="1"/>
  <c r="E8" i="3"/>
  <c r="C8" i="3"/>
  <c r="F7" i="3"/>
  <c r="G7" i="3" s="1"/>
  <c r="E7" i="3"/>
  <c r="C7" i="3"/>
  <c r="F6" i="3"/>
  <c r="G6" i="3" s="1"/>
  <c r="E6" i="3"/>
  <c r="C6" i="3"/>
  <c r="F5" i="3"/>
  <c r="G5" i="3" s="1"/>
  <c r="E5" i="3"/>
  <c r="C5" i="3"/>
</calcChain>
</file>

<file path=xl/sharedStrings.xml><?xml version="1.0" encoding="utf-8"?>
<sst xmlns="http://schemas.openxmlformats.org/spreadsheetml/2006/main" count="498" uniqueCount="388">
  <si>
    <t>Edad</t>
  </si>
  <si>
    <t>Género</t>
  </si>
  <si>
    <t>Educ</t>
  </si>
  <si>
    <t>Ocup_Rec</t>
  </si>
  <si>
    <t>Later</t>
  </si>
  <si>
    <t>Estado_C</t>
  </si>
  <si>
    <t>Ingresos</t>
  </si>
  <si>
    <t>Consumo</t>
  </si>
  <si>
    <t>IMC</t>
  </si>
  <si>
    <t>Trab</t>
  </si>
  <si>
    <t>Internet</t>
  </si>
  <si>
    <t>Aculturacion</t>
  </si>
  <si>
    <t>ReyC</t>
  </si>
  <si>
    <t>ReyM</t>
  </si>
  <si>
    <t>Rec_Inmediato</t>
  </si>
  <si>
    <t>HLVRT-ET</t>
  </si>
  <si>
    <t>Reconocimiento_correc</t>
  </si>
  <si>
    <t>estado civil</t>
  </si>
  <si>
    <t>sin pareja</t>
  </si>
  <si>
    <t>con pareja</t>
  </si>
  <si>
    <t>lateralidad</t>
  </si>
  <si>
    <t>diestros</t>
  </si>
  <si>
    <t>no diestros</t>
  </si>
  <si>
    <t>Masculino</t>
  </si>
  <si>
    <t>femenino</t>
  </si>
  <si>
    <t>ama de casa</t>
  </si>
  <si>
    <t>lideres</t>
  </si>
  <si>
    <t>agricultura</t>
  </si>
  <si>
    <t>artesanias</t>
  </si>
  <si>
    <t>nunca</t>
  </si>
  <si>
    <t>mas de una vez a la semana</t>
  </si>
  <si>
    <t>tabla 1. caracteristicas sociodemográficas de los participantes en el estudio de acuerdo al genero</t>
  </si>
  <si>
    <t>Characteristics (%)</t>
  </si>
  <si>
    <t>Femenino</t>
  </si>
  <si>
    <t>Total</t>
  </si>
  <si>
    <t>(N=42)</t>
  </si>
  <si>
    <t>%</t>
  </si>
  <si>
    <t>(N=46)</t>
  </si>
  <si>
    <t>N</t>
  </si>
  <si>
    <t>Edad (años)</t>
  </si>
  <si>
    <t>18 a 29</t>
  </si>
  <si>
    <t>30 a 39</t>
  </si>
  <si>
    <t>40 a 49</t>
  </si>
  <si>
    <t>50 a 59</t>
  </si>
  <si>
    <t>más de 60</t>
  </si>
  <si>
    <t>Escolaridad</t>
  </si>
  <si>
    <t>Sin educación</t>
  </si>
  <si>
    <t>Primaria</t>
  </si>
  <si>
    <t>Secundaria</t>
  </si>
  <si>
    <t>Superior</t>
  </si>
  <si>
    <t>Ingresos Mensuales</t>
  </si>
  <si>
    <t>De $0 a $200.000</t>
  </si>
  <si>
    <t>De $200.000 a $400.000</t>
  </si>
  <si>
    <t>De $400.000 a $600.000</t>
  </si>
  <si>
    <t>De $600.000 a $800.000</t>
  </si>
  <si>
    <t>De $800.000 a $1.000.000</t>
  </si>
  <si>
    <t>Más de $1.000.000</t>
  </si>
  <si>
    <t>Ocupaciones</t>
  </si>
  <si>
    <t>Agricultura</t>
  </si>
  <si>
    <t>Ama de casa</t>
  </si>
  <si>
    <t>Artesanias</t>
  </si>
  <si>
    <t>Lideres</t>
  </si>
  <si>
    <t>Consumo de Alcohol</t>
  </si>
  <si>
    <t>Nunca/Casi nunca</t>
  </si>
  <si>
    <t>Más de una vez por semana</t>
  </si>
  <si>
    <t>Estado Civil</t>
  </si>
  <si>
    <t>Sin pareja</t>
  </si>
  <si>
    <t>Con pareja</t>
  </si>
  <si>
    <t>Lateralidad</t>
  </si>
  <si>
    <t>Derecho/a</t>
  </si>
  <si>
    <t>no derecho</t>
  </si>
  <si>
    <t>Trabajos por fuera de la comunidad</t>
  </si>
  <si>
    <t>No</t>
  </si>
  <si>
    <t xml:space="preserve">Si </t>
  </si>
  <si>
    <t>Servicio de Internet</t>
  </si>
  <si>
    <t>Índice de Masa Corporal</t>
  </si>
  <si>
    <t xml:space="preserve">Bajo peso </t>
  </si>
  <si>
    <t>Peso Normal</t>
  </si>
  <si>
    <t>Sobrepeso</t>
  </si>
  <si>
    <t>Obesidad Grado I</t>
  </si>
  <si>
    <t>Tabla 4. Asociación entre aprendizaje y memoria y Aculturación de acuerdo a variables sociodemográficas</t>
  </si>
  <si>
    <t>Characteristics</t>
  </si>
  <si>
    <t>Test de Rey</t>
  </si>
  <si>
    <t>Test de Hopking (HLVRT-R)</t>
  </si>
  <si>
    <t>Rey Copia /atención</t>
  </si>
  <si>
    <t>Rey Memoria</t>
  </si>
  <si>
    <t>Recuerdo Inmediato</t>
  </si>
  <si>
    <t>HLVRT-Evocación tardia</t>
  </si>
  <si>
    <t>Reconocimiento correctas</t>
  </si>
  <si>
    <t>Bivariado</t>
  </si>
  <si>
    <t>Multivariado</t>
  </si>
  <si>
    <t xml:space="preserve">B </t>
  </si>
  <si>
    <t>Conf</t>
  </si>
  <si>
    <t>-0.31**</t>
  </si>
  <si>
    <t>[-0.44, -0.17]</t>
  </si>
  <si>
    <t>-0.05</t>
  </si>
  <si>
    <t>[-0.21, 0.12]</t>
  </si>
  <si>
    <t>(0,41/-0,13)</t>
  </si>
  <si>
    <t>0.05</t>
  </si>
  <si>
    <t>[-0.11, 0.20]</t>
  </si>
  <si>
    <t>(-0.24, -0.09)</t>
  </si>
  <si>
    <t>-0.11*</t>
  </si>
  <si>
    <t>[-0.21, -0.01]</t>
  </si>
  <si>
    <t>(-0.10, -0.02)</t>
  </si>
  <si>
    <t>-0.02</t>
  </si>
  <si>
    <t>[-0.07, 0.03]</t>
  </si>
  <si>
    <t>(-0.05, 0.002)</t>
  </si>
  <si>
    <t>-0.00</t>
  </si>
  <si>
    <t>[-0.04, 0.03]</t>
  </si>
  <si>
    <t>3.36</t>
  </si>
  <si>
    <t>(-0.25, 6.98)</t>
  </si>
  <si>
    <t>1.62</t>
  </si>
  <si>
    <t>[-2.60, 5.83]</t>
  </si>
  <si>
    <t>(0,89/8,08)</t>
  </si>
  <si>
    <t>1.72</t>
  </si>
  <si>
    <t>[-2.23, 5.67]</t>
  </si>
  <si>
    <t>(13,17, 15,92)</t>
  </si>
  <si>
    <t>-0.41</t>
  </si>
  <si>
    <t>[-2.86, 2.04]</t>
  </si>
  <si>
    <t>(-0.81, 1.23)</t>
  </si>
  <si>
    <t>-0.79</t>
  </si>
  <si>
    <t>[-2.05, 0.47]</t>
  </si>
  <si>
    <t>(-0.41, 0.86)</t>
  </si>
  <si>
    <t>0.19</t>
  </si>
  <si>
    <t>[-0.69, 1.07]</t>
  </si>
  <si>
    <t>Educación</t>
  </si>
  <si>
    <t>(0.77, 1.49)</t>
  </si>
  <si>
    <t>0.80*</t>
  </si>
  <si>
    <t>[0.15, 1.46]</t>
  </si>
  <si>
    <t>(6,97/11,89)</t>
  </si>
  <si>
    <t>1.36**</t>
  </si>
  <si>
    <t>[0.74, 1.97]</t>
  </si>
  <si>
    <t>(0.34, 0.75)</t>
  </si>
  <si>
    <t>0.24</t>
  </si>
  <si>
    <t>[-0.14, 0.62]</t>
  </si>
  <si>
    <t>(0.17, 0.38)</t>
  </si>
  <si>
    <t>0.17</t>
  </si>
  <si>
    <t>[-0.03, 0.36]</t>
  </si>
  <si>
    <t>(0.04, 0.19)</t>
  </si>
  <si>
    <t>0.06</t>
  </si>
  <si>
    <t>[-0.08, 0.20]</t>
  </si>
  <si>
    <t>Ocupación agricultura</t>
  </si>
  <si>
    <t>(-9.07, 1.67)</t>
  </si>
  <si>
    <t>-2.25</t>
  </si>
  <si>
    <t>[-8.23, 3.73]</t>
  </si>
  <si>
    <t>(-11,55/-1,05)</t>
  </si>
  <si>
    <t>-3.94</t>
  </si>
  <si>
    <t>[-9.53, 1.66]</t>
  </si>
  <si>
    <t>(-5.58, 0.28)</t>
  </si>
  <si>
    <t>-2.92</t>
  </si>
  <si>
    <t>[-6.40, 0.56]</t>
  </si>
  <si>
    <t>(-2.31, 0.71)</t>
  </si>
  <si>
    <t>-1.44</t>
  </si>
  <si>
    <t>[-3.22, 0.34]</t>
  </si>
  <si>
    <t>(-0.85, 1.05)</t>
  </si>
  <si>
    <t>0.28</t>
  </si>
  <si>
    <t>[-0.97, 1.53]</t>
  </si>
  <si>
    <t>Ocupación artesania</t>
  </si>
  <si>
    <t>(-5.35, 3.95)</t>
  </si>
  <si>
    <t>0.92</t>
  </si>
  <si>
    <t>[-3.73, 5.56]</t>
  </si>
  <si>
    <t>(-5,12/3,97)</t>
  </si>
  <si>
    <t>1.23</t>
  </si>
  <si>
    <t>[-3.11, 5.58]</t>
  </si>
  <si>
    <t>(-5.58, -0.52)</t>
  </si>
  <si>
    <t>-3.40*</t>
  </si>
  <si>
    <t>[-6.11, -0.70]</t>
  </si>
  <si>
    <t>(-2.38, 0.23)</t>
  </si>
  <si>
    <t>-1.55*</t>
  </si>
  <si>
    <t>[-2.94, -0.17]</t>
  </si>
  <si>
    <t>(-1.24, 0.39)</t>
  </si>
  <si>
    <t>-0.29</t>
  </si>
  <si>
    <t>[-1.26, 0.68]</t>
  </si>
  <si>
    <t>Ocupación lider</t>
  </si>
  <si>
    <t>(-3.05, 1.12)</t>
  </si>
  <si>
    <t>4.90</t>
  </si>
  <si>
    <t>[-2.21, 12.02]</t>
  </si>
  <si>
    <t>(-3,12/10,77)</t>
  </si>
  <si>
    <t>3.97</t>
  </si>
  <si>
    <t>[-2.69, 10.62]</t>
  </si>
  <si>
    <t>(-5.99, 1.74)</t>
  </si>
  <si>
    <t>-3.26</t>
  </si>
  <si>
    <t>[-7.40, 0.87]</t>
  </si>
  <si>
    <t>(-3.04, 0.94)</t>
  </si>
  <si>
    <t>-1.64</t>
  </si>
  <si>
    <t>[-3.76, 0.48]</t>
  </si>
  <si>
    <t>(-1.15, 1.35)</t>
  </si>
  <si>
    <t>0.26</t>
  </si>
  <si>
    <t>[-1.22, 1.75]</t>
  </si>
  <si>
    <t>(-11.11, 3.4)</t>
  </si>
  <si>
    <t>2.78</t>
  </si>
  <si>
    <t>[-3.53, 9.10]</t>
  </si>
  <si>
    <t>(-8,93/11,60)</t>
  </si>
  <si>
    <t>3.06</t>
  </si>
  <si>
    <t>[-2.85, 8.97]</t>
  </si>
  <si>
    <t>(-4.49, 6.67)</t>
  </si>
  <si>
    <t>2.18</t>
  </si>
  <si>
    <t>[-1.49, 5.85]</t>
  </si>
  <si>
    <t>(-2.82, 2.82)</t>
  </si>
  <si>
    <t>0.79</t>
  </si>
  <si>
    <t>[-1.09, 2.67]</t>
  </si>
  <si>
    <t>(-2.20, 1.33)</t>
  </si>
  <si>
    <t>0.94</t>
  </si>
  <si>
    <t>[-0.38, 2.25]</t>
  </si>
  <si>
    <t>(-2.84, 5.63)</t>
  </si>
  <si>
    <t>2.12</t>
  </si>
  <si>
    <t>[-1.42, 5.67]</t>
  </si>
  <si>
    <t>(-5,60/14,93)</t>
  </si>
  <si>
    <t>0.65</t>
  </si>
  <si>
    <t>[-2.67, 3.96]</t>
  </si>
  <si>
    <t>1.48</t>
  </si>
  <si>
    <t>[-0.58, 3.54]</t>
  </si>
  <si>
    <t>(-1.82, 3.82)</t>
  </si>
  <si>
    <t>0.71</t>
  </si>
  <si>
    <t>[-0.35, 1.77]</t>
  </si>
  <si>
    <t>0.31</t>
  </si>
  <si>
    <t>[-0.43, 1.05]</t>
  </si>
  <si>
    <t>-0.00*</t>
  </si>
  <si>
    <t>[-0.00, -0.00]</t>
  </si>
  <si>
    <t>(-5,31/3,65)</t>
  </si>
  <si>
    <t>(-1.26, 3.56)</t>
  </si>
  <si>
    <t>[-0.00, 0.00]</t>
  </si>
  <si>
    <t>(-0.60, 1.87)</t>
  </si>
  <si>
    <t>0.00</t>
  </si>
  <si>
    <t>(-0,41, 1.13)</t>
  </si>
  <si>
    <t>Consumo alcohol</t>
  </si>
  <si>
    <t>(-6.07, 2.68)</t>
  </si>
  <si>
    <t>-4.64*</t>
  </si>
  <si>
    <t>[-8.36, -0.92]</t>
  </si>
  <si>
    <t>(-15,52/10,42)</t>
  </si>
  <si>
    <t>-2.85</t>
  </si>
  <si>
    <t>[-6.34, 0.63]</t>
  </si>
  <si>
    <t>(-8.57, 5.37)</t>
  </si>
  <si>
    <t>-0.67</t>
  </si>
  <si>
    <t>[-2.83, 1.50]</t>
  </si>
  <si>
    <t>(-2.62, 4.52)</t>
  </si>
  <si>
    <t>-0.68</t>
  </si>
  <si>
    <t>[-1.79, 0.43]</t>
  </si>
  <si>
    <t>(-1.68, 2,78)</t>
  </si>
  <si>
    <t>-0.32</t>
  </si>
  <si>
    <t>[-1.09, 0.46]</t>
  </si>
  <si>
    <t>(-0.77, 0.63)</t>
  </si>
  <si>
    <t>0.15</t>
  </si>
  <si>
    <t>[-0.44, 0.74]</t>
  </si>
  <si>
    <t>(-21,02/4,92)</t>
  </si>
  <si>
    <t>-0.01</t>
  </si>
  <si>
    <t>[-0.57, 0.54]</t>
  </si>
  <si>
    <t>(10.57, 3.37)</t>
  </si>
  <si>
    <t>[-0.34, 0.34]</t>
  </si>
  <si>
    <t>(-3.62, 3.52)</t>
  </si>
  <si>
    <t>0.01</t>
  </si>
  <si>
    <t>[-0.16, 0.19]</t>
  </si>
  <si>
    <t>0.08</t>
  </si>
  <si>
    <t>[-0.05, 0.20]</t>
  </si>
  <si>
    <t>Trabajos por fuera</t>
  </si>
  <si>
    <t>(-6.55, 12.35)</t>
  </si>
  <si>
    <t>-1.35</t>
  </si>
  <si>
    <t>[-5.94, 3.23]</t>
  </si>
  <si>
    <t>(-5E-06/1E-05)</t>
  </si>
  <si>
    <t>0.32</t>
  </si>
  <si>
    <t>[-3.97, 4.61]</t>
  </si>
  <si>
    <t>(-0.00, -0.00)</t>
  </si>
  <si>
    <t>-2.18</t>
  </si>
  <si>
    <t>[-4.85, 0.49]</t>
  </si>
  <si>
    <t>-1.03</t>
  </si>
  <si>
    <t>[-2.39, 0.34]</t>
  </si>
  <si>
    <t>-0.60</t>
  </si>
  <si>
    <t>[-1.56, 0.35]</t>
  </si>
  <si>
    <t>Servicio de internet</t>
  </si>
  <si>
    <t>(-6.55, 2.62)</t>
  </si>
  <si>
    <t>-1.50</t>
  </si>
  <si>
    <t>[-8.41, 5.42]</t>
  </si>
  <si>
    <t>(-3,85/5,41)</t>
  </si>
  <si>
    <t>-1.43</t>
  </si>
  <si>
    <t>[-7.90, 5.03]</t>
  </si>
  <si>
    <t>(-2.12, 2.92)</t>
  </si>
  <si>
    <t>-0.82</t>
  </si>
  <si>
    <t>[-4.84, 3.20]</t>
  </si>
  <si>
    <t>(-1.01, 1.51)</t>
  </si>
  <si>
    <t>[-3.49, 0.63]</t>
  </si>
  <si>
    <t>(-0.50, 1.06)</t>
  </si>
  <si>
    <t>[-2.12, 0.76]</t>
  </si>
  <si>
    <t>Aculturación</t>
  </si>
  <si>
    <t>(-11.7, 13.12)</t>
  </si>
  <si>
    <t>0.26*</t>
  </si>
  <si>
    <t>[0.06, 0.45]</t>
  </si>
  <si>
    <t>(-17.69, 7.37)</t>
  </si>
  <si>
    <t>0.18</t>
  </si>
  <si>
    <t>[-0.00, 0.37]</t>
  </si>
  <si>
    <t>(-8.08, 5.55)</t>
  </si>
  <si>
    <t>[-0.10, 0.13]</t>
  </si>
  <si>
    <t>(-5.45, 1.39)</t>
  </si>
  <si>
    <t>0.04</t>
  </si>
  <si>
    <t>[-0.02, 0.10]</t>
  </si>
  <si>
    <t>(-3.84, 0.40)</t>
  </si>
  <si>
    <t>0.03</t>
  </si>
  <si>
    <t>[-0.01, 0.07]</t>
  </si>
  <si>
    <t>x</t>
  </si>
  <si>
    <t>Puntuacion</t>
  </si>
  <si>
    <t>Predictor</t>
  </si>
  <si>
    <t>b</t>
  </si>
  <si>
    <t>beta</t>
  </si>
  <si>
    <r>
      <t>sr</t>
    </r>
    <r>
      <rPr>
        <i/>
        <vertAlign val="superscript"/>
        <sz val="10"/>
        <color theme="1"/>
        <rFont val="Times New Roman"/>
        <family val="1"/>
      </rPr>
      <t xml:space="preserve">2 </t>
    </r>
  </si>
  <si>
    <t>r</t>
  </si>
  <si>
    <t>Fit</t>
  </si>
  <si>
    <t>95% CI</t>
  </si>
  <si>
    <t>[LL, UL]</t>
  </si>
  <si>
    <t>Rey Copia</t>
  </si>
  <si>
    <t>(Intercept)</t>
  </si>
  <si>
    <t>15.23**</t>
  </si>
  <si>
    <t>[9.05, 21.42]</t>
  </si>
  <si>
    <t>1.07**</t>
  </si>
  <si>
    <t>[0.62, 1.51]</t>
  </si>
  <si>
    <t>0.52</t>
  </si>
  <si>
    <t>[0.31, 0.74]</t>
  </si>
  <si>
    <t>.17</t>
  </si>
  <si>
    <t>[.04, .30]</t>
  </si>
  <si>
    <t>.56**</t>
  </si>
  <si>
    <r>
      <t>R</t>
    </r>
    <r>
      <rPr>
        <i/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  = .365**</t>
    </r>
  </si>
  <si>
    <t>-0.19</t>
  </si>
  <si>
    <t>[-0.38, -0.00]</t>
  </si>
  <si>
    <t>.03</t>
  </si>
  <si>
    <t>[-.03, .09]</t>
  </si>
  <si>
    <t>.07</t>
  </si>
  <si>
    <t>95% CI[.19,.48]</t>
  </si>
  <si>
    <t>[-0.01, 0.35]</t>
  </si>
  <si>
    <t>0.20</t>
  </si>
  <si>
    <t>[-0.01, 0.40]</t>
  </si>
  <si>
    <t>[-.03, .08]</t>
  </si>
  <si>
    <t>.44**</t>
  </si>
  <si>
    <t>9.40**</t>
  </si>
  <si>
    <t>[6.77, 12.04]</t>
  </si>
  <si>
    <t>2.84</t>
  </si>
  <si>
    <t>[-0.00, 5.69]</t>
  </si>
  <si>
    <t>0.16</t>
  </si>
  <si>
    <t>[-0.00, 0.33]</t>
  </si>
  <si>
    <t>[-.02, .07]</t>
  </si>
  <si>
    <t>.26*</t>
  </si>
  <si>
    <r>
      <t>R</t>
    </r>
    <r>
      <rPr>
        <i/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  = .464**</t>
    </r>
  </si>
  <si>
    <t>1.42**</t>
  </si>
  <si>
    <t>[1.06, 1.77]</t>
  </si>
  <si>
    <t>0.69</t>
  </si>
  <si>
    <t>[0.52, 0.86]</t>
  </si>
  <si>
    <t>.40</t>
  </si>
  <si>
    <t>[.24, .55]</t>
  </si>
  <si>
    <t>.64**</t>
  </si>
  <si>
    <t>95% CI[.29,.57]</t>
  </si>
  <si>
    <t>-0.21</t>
  </si>
  <si>
    <t>[-0.39, -0.04]</t>
  </si>
  <si>
    <t>.04</t>
  </si>
  <si>
    <t>[-.02, .10]</t>
  </si>
  <si>
    <t>.10</t>
  </si>
  <si>
    <t>15.64**</t>
  </si>
  <si>
    <t>[11.63, 19.66]</t>
  </si>
  <si>
    <t>-0.08</t>
  </si>
  <si>
    <t>[-0.17, 0.00]</t>
  </si>
  <si>
    <t>[-0.44, 0.01]</t>
  </si>
  <si>
    <t>-.42**</t>
  </si>
  <si>
    <r>
      <t>R</t>
    </r>
    <r>
      <rPr>
        <i/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  = .269**</t>
    </r>
  </si>
  <si>
    <t>0.41**</t>
  </si>
  <si>
    <t>[0.16, 0.66]</t>
  </si>
  <si>
    <t>0.37</t>
  </si>
  <si>
    <t>[0.14, 0.59]</t>
  </si>
  <si>
    <t>.09</t>
  </si>
  <si>
    <t>[-.01, .20]</t>
  </si>
  <si>
    <t>.49**</t>
  </si>
  <si>
    <t>95% CI[.11,.40]</t>
  </si>
  <si>
    <t>HLVRT-Evocación tardía</t>
  </si>
  <si>
    <t>5.39**</t>
  </si>
  <si>
    <t>[4.63, 6.16]</t>
  </si>
  <si>
    <r>
      <t>R</t>
    </r>
    <r>
      <rPr>
        <i/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  = .243**</t>
    </r>
  </si>
  <si>
    <t>0.28**</t>
  </si>
  <si>
    <t>[0.17, 0.38]</t>
  </si>
  <si>
    <t>0.49</t>
  </si>
  <si>
    <t>[0.31, 0.68]</t>
  </si>
  <si>
    <t>.24</t>
  </si>
  <si>
    <t>[.10, .38]</t>
  </si>
  <si>
    <t>95% CI[.10,.38]</t>
  </si>
  <si>
    <t>11.15**</t>
  </si>
  <si>
    <t>[10.73, 11.56]</t>
  </si>
  <si>
    <r>
      <t>R</t>
    </r>
    <r>
      <rPr>
        <i/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  = .090**</t>
    </r>
  </si>
  <si>
    <t>-0.90**</t>
  </si>
  <si>
    <t>[-1.51, -0.28]</t>
  </si>
  <si>
    <t>-0.30</t>
  </si>
  <si>
    <t>[-0.50, -0.10]</t>
  </si>
  <si>
    <t>[.01, .22]</t>
  </si>
  <si>
    <t>-.30**</t>
  </si>
  <si>
    <t>95% CI[.01,.22]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</si>
</sst>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E+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Calibri Light"/>
      <family val="2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perscript"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3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/>
    <xf numFmtId="0" fontId="0" fillId="2" borderId="1" xfId="0" applyFill="1" applyBorder="1"/>
    <xf numFmtId="1" fontId="0" fillId="3" borderId="1" xfId="0" applyNumberForma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 applyFill="1" applyBorder="1"/>
    <xf numFmtId="0" fontId="0" fillId="0" borderId="0" xfId="0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164" fontId="9" fillId="0" borderId="0" xfId="1" applyNumberFormat="1" applyFont="1" applyFill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4" fontId="9" fillId="0" borderId="3" xfId="1" applyNumberFormat="1" applyFont="1" applyFill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2" applyAlignment="1">
      <alignment wrapText="1"/>
    </xf>
    <xf numFmtId="2" fontId="14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0" fontId="13" fillId="0" borderId="3" xfId="2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0" borderId="3" xfId="0" applyFont="1" applyBorder="1" applyAlignment="1">
      <alignment horizontal="right" vertical="center" wrapText="1"/>
    </xf>
    <xf numFmtId="0" fontId="16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6" fillId="0" borderId="3" xfId="0" applyFont="1" applyBorder="1" applyAlignment="1">
      <alignment horizontal="right" vertical="center" wrapText="1"/>
    </xf>
  </cellXfs>
  <cellStyles count="3">
    <cellStyle name="Normal" xfId="0" builtinId="0"/>
    <cellStyle name="Normal 2" xfId="2" xr:uid="{8694D2D2-EA38-4DF3-A01F-E96340D8374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BB08-7694-4C2D-9DD8-E68B20D8F1B6}">
  <dimension ref="A1:T89"/>
  <sheetViews>
    <sheetView tabSelected="1" workbookViewId="0">
      <selection activeCell="G1" sqref="G1:Q1048576"/>
    </sheetView>
  </sheetViews>
  <sheetFormatPr baseColWidth="10" defaultRowHeight="15" x14ac:dyDescent="0.25"/>
  <sheetData>
    <row r="1" spans="1:2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</row>
    <row r="2" spans="1:20" x14ac:dyDescent="0.25">
      <c r="A2" s="6">
        <v>25</v>
      </c>
      <c r="B2" s="6">
        <v>1</v>
      </c>
      <c r="C2" s="6">
        <v>0</v>
      </c>
      <c r="D2" s="7">
        <v>3</v>
      </c>
      <c r="E2" s="6">
        <v>1</v>
      </c>
      <c r="F2" s="6">
        <v>1</v>
      </c>
      <c r="G2" s="6">
        <v>50000</v>
      </c>
      <c r="H2" s="6">
        <v>0</v>
      </c>
      <c r="I2" s="8">
        <v>25</v>
      </c>
      <c r="J2" s="8">
        <v>1</v>
      </c>
      <c r="K2" s="8">
        <v>0</v>
      </c>
      <c r="L2" s="9">
        <v>25</v>
      </c>
      <c r="M2" s="10">
        <v>18</v>
      </c>
      <c r="N2" s="10">
        <v>5</v>
      </c>
      <c r="O2" s="10">
        <v>8</v>
      </c>
      <c r="P2" s="10">
        <v>4</v>
      </c>
      <c r="Q2" s="10">
        <v>8</v>
      </c>
    </row>
    <row r="3" spans="1:20" x14ac:dyDescent="0.25">
      <c r="A3" s="6">
        <v>56</v>
      </c>
      <c r="B3" s="6">
        <v>0</v>
      </c>
      <c r="C3" s="6">
        <v>0</v>
      </c>
      <c r="D3" s="7">
        <v>2</v>
      </c>
      <c r="E3" s="6">
        <v>1</v>
      </c>
      <c r="F3" s="6">
        <v>0</v>
      </c>
      <c r="G3" s="6">
        <v>100000</v>
      </c>
      <c r="H3" s="6">
        <v>0</v>
      </c>
      <c r="I3" s="8">
        <v>23</v>
      </c>
      <c r="J3" s="8">
        <v>1</v>
      </c>
      <c r="K3" s="8">
        <v>0</v>
      </c>
      <c r="L3" s="9">
        <v>25</v>
      </c>
      <c r="M3" s="10">
        <v>15</v>
      </c>
      <c r="N3" s="10">
        <v>8</v>
      </c>
      <c r="O3" s="10">
        <v>13</v>
      </c>
      <c r="P3" s="10">
        <v>4</v>
      </c>
      <c r="Q3" s="10">
        <v>5</v>
      </c>
    </row>
    <row r="4" spans="1:20" x14ac:dyDescent="0.25">
      <c r="A4" s="6">
        <v>24</v>
      </c>
      <c r="B4" s="6">
        <v>1</v>
      </c>
      <c r="C4" s="6">
        <v>9</v>
      </c>
      <c r="D4" s="7">
        <v>3</v>
      </c>
      <c r="E4" s="6">
        <v>1</v>
      </c>
      <c r="F4" s="6">
        <v>1</v>
      </c>
      <c r="G4" s="6">
        <v>100000</v>
      </c>
      <c r="H4" s="6">
        <v>0</v>
      </c>
      <c r="I4" s="8">
        <v>25</v>
      </c>
      <c r="J4" s="8">
        <v>0</v>
      </c>
      <c r="K4" s="8">
        <v>0</v>
      </c>
      <c r="L4" s="9">
        <v>32</v>
      </c>
      <c r="M4" s="10">
        <v>35</v>
      </c>
      <c r="N4" s="10">
        <v>30</v>
      </c>
      <c r="O4" s="10">
        <v>18</v>
      </c>
      <c r="P4" s="10">
        <v>9</v>
      </c>
      <c r="Q4" s="10">
        <v>12</v>
      </c>
    </row>
    <row r="5" spans="1:20" x14ac:dyDescent="0.25">
      <c r="A5" s="6">
        <v>24</v>
      </c>
      <c r="B5" s="6">
        <v>0</v>
      </c>
      <c r="C5" s="6">
        <v>5</v>
      </c>
      <c r="D5" s="7">
        <v>2</v>
      </c>
      <c r="E5" s="6">
        <v>1</v>
      </c>
      <c r="F5" s="6">
        <v>1</v>
      </c>
      <c r="G5" s="6">
        <v>80000</v>
      </c>
      <c r="H5" s="6">
        <v>0</v>
      </c>
      <c r="I5" s="8">
        <v>22</v>
      </c>
      <c r="J5" s="8">
        <v>1</v>
      </c>
      <c r="K5" s="8">
        <v>0</v>
      </c>
      <c r="L5" s="9">
        <v>48</v>
      </c>
      <c r="M5" s="10">
        <v>29</v>
      </c>
      <c r="N5" s="10">
        <v>16</v>
      </c>
      <c r="O5" s="10">
        <v>13</v>
      </c>
      <c r="P5" s="10">
        <v>7</v>
      </c>
      <c r="Q5" s="10">
        <v>10</v>
      </c>
    </row>
    <row r="6" spans="1:20" x14ac:dyDescent="0.25">
      <c r="A6" s="6">
        <v>30</v>
      </c>
      <c r="B6" s="6">
        <v>1</v>
      </c>
      <c r="C6" s="6">
        <v>11</v>
      </c>
      <c r="D6" s="7">
        <v>3</v>
      </c>
      <c r="E6" s="6">
        <v>1</v>
      </c>
      <c r="F6" s="6">
        <v>1</v>
      </c>
      <c r="G6" s="6">
        <v>50000</v>
      </c>
      <c r="H6" s="6">
        <v>0</v>
      </c>
      <c r="I6" s="8">
        <v>21</v>
      </c>
      <c r="J6" s="8">
        <v>0</v>
      </c>
      <c r="K6" s="8">
        <v>0</v>
      </c>
      <c r="L6" s="9">
        <v>42</v>
      </c>
      <c r="M6" s="10">
        <v>34</v>
      </c>
      <c r="N6" s="10">
        <v>21</v>
      </c>
      <c r="O6" s="10">
        <v>16</v>
      </c>
      <c r="P6" s="10">
        <v>7</v>
      </c>
      <c r="Q6" s="10">
        <v>11</v>
      </c>
    </row>
    <row r="7" spans="1:20" x14ac:dyDescent="0.25">
      <c r="A7" s="6">
        <v>49</v>
      </c>
      <c r="B7" s="6">
        <v>1</v>
      </c>
      <c r="C7" s="6">
        <v>0</v>
      </c>
      <c r="D7" s="7">
        <v>1</v>
      </c>
      <c r="E7" s="6">
        <v>1</v>
      </c>
      <c r="F7" s="6">
        <v>1</v>
      </c>
      <c r="G7" s="6">
        <v>200000</v>
      </c>
      <c r="H7" s="6">
        <v>0</v>
      </c>
      <c r="I7" s="8">
        <v>20</v>
      </c>
      <c r="J7" s="8">
        <v>1</v>
      </c>
      <c r="K7" s="8">
        <v>0</v>
      </c>
      <c r="L7" s="9">
        <v>45</v>
      </c>
      <c r="M7" s="10">
        <v>32</v>
      </c>
      <c r="N7" s="10">
        <v>8</v>
      </c>
      <c r="O7" s="10">
        <v>17</v>
      </c>
      <c r="P7" s="10">
        <v>8</v>
      </c>
      <c r="Q7" s="10">
        <v>11</v>
      </c>
    </row>
    <row r="8" spans="1:20" x14ac:dyDescent="0.25">
      <c r="A8" s="6">
        <v>18</v>
      </c>
      <c r="B8" s="6">
        <v>1</v>
      </c>
      <c r="C8" s="6">
        <v>7</v>
      </c>
      <c r="D8" s="7">
        <v>4</v>
      </c>
      <c r="E8" s="6">
        <v>0</v>
      </c>
      <c r="F8" s="6">
        <v>0</v>
      </c>
      <c r="G8" s="6">
        <v>100000</v>
      </c>
      <c r="H8" s="6">
        <v>0</v>
      </c>
      <c r="I8" s="8">
        <v>19</v>
      </c>
      <c r="J8" s="8">
        <v>0</v>
      </c>
      <c r="K8" s="8">
        <v>1</v>
      </c>
      <c r="L8" s="9">
        <v>40</v>
      </c>
      <c r="M8" s="10">
        <v>29</v>
      </c>
      <c r="N8" s="10">
        <v>12</v>
      </c>
      <c r="O8" s="10">
        <v>8</v>
      </c>
      <c r="P8" s="10">
        <v>3</v>
      </c>
      <c r="Q8" s="10">
        <v>9</v>
      </c>
      <c r="S8" s="13"/>
      <c r="T8" s="13"/>
    </row>
    <row r="9" spans="1:20" x14ac:dyDescent="0.25">
      <c r="A9" s="6">
        <v>18</v>
      </c>
      <c r="B9" s="6">
        <v>0</v>
      </c>
      <c r="C9" s="6">
        <v>9</v>
      </c>
      <c r="D9" s="7">
        <v>2</v>
      </c>
      <c r="E9" s="6">
        <v>1</v>
      </c>
      <c r="F9" s="6">
        <v>1</v>
      </c>
      <c r="G9" s="6">
        <v>150000</v>
      </c>
      <c r="H9" s="6">
        <v>0</v>
      </c>
      <c r="I9" s="8">
        <v>24</v>
      </c>
      <c r="J9" s="8">
        <v>0</v>
      </c>
      <c r="K9" s="8">
        <v>1</v>
      </c>
      <c r="L9" s="9">
        <v>49</v>
      </c>
      <c r="M9" s="10">
        <v>35</v>
      </c>
      <c r="N9" s="10">
        <v>24</v>
      </c>
      <c r="O9" s="10">
        <v>23</v>
      </c>
      <c r="P9" s="10">
        <v>12</v>
      </c>
      <c r="Q9" s="10">
        <v>12</v>
      </c>
      <c r="S9" s="12"/>
      <c r="T9" s="13"/>
    </row>
    <row r="10" spans="1:20" x14ac:dyDescent="0.25">
      <c r="A10" s="6">
        <v>31</v>
      </c>
      <c r="B10" s="6">
        <v>0</v>
      </c>
      <c r="C10" s="6">
        <v>1</v>
      </c>
      <c r="D10" s="7">
        <v>2</v>
      </c>
      <c r="E10" s="6">
        <v>1</v>
      </c>
      <c r="F10" s="6">
        <v>1</v>
      </c>
      <c r="G10" s="6">
        <v>30000</v>
      </c>
      <c r="H10" s="6">
        <v>0</v>
      </c>
      <c r="I10" s="8">
        <v>23</v>
      </c>
      <c r="J10" s="8">
        <v>1</v>
      </c>
      <c r="K10" s="8">
        <v>0</v>
      </c>
      <c r="L10" s="9">
        <v>44</v>
      </c>
      <c r="M10" s="10">
        <v>33</v>
      </c>
      <c r="N10" s="10">
        <v>5</v>
      </c>
      <c r="O10" s="10">
        <v>13</v>
      </c>
      <c r="P10" s="10">
        <v>8</v>
      </c>
      <c r="Q10" s="10">
        <v>11</v>
      </c>
      <c r="S10" s="12"/>
      <c r="T10" s="13"/>
    </row>
    <row r="11" spans="1:20" x14ac:dyDescent="0.25">
      <c r="A11" s="6">
        <v>32</v>
      </c>
      <c r="B11" s="6">
        <v>0</v>
      </c>
      <c r="C11" s="6">
        <v>5</v>
      </c>
      <c r="D11" s="7">
        <v>2</v>
      </c>
      <c r="E11" s="6">
        <v>1</v>
      </c>
      <c r="F11" s="6">
        <v>1</v>
      </c>
      <c r="G11" s="6">
        <v>500000</v>
      </c>
      <c r="H11" s="6">
        <v>0</v>
      </c>
      <c r="I11" s="8">
        <v>23</v>
      </c>
      <c r="J11" s="8">
        <v>1</v>
      </c>
      <c r="K11" s="8">
        <v>0</v>
      </c>
      <c r="L11" s="9">
        <v>45</v>
      </c>
      <c r="M11" s="10">
        <v>30</v>
      </c>
      <c r="N11" s="10">
        <v>12</v>
      </c>
      <c r="O11" s="10">
        <v>18</v>
      </c>
      <c r="P11" s="10">
        <v>7</v>
      </c>
      <c r="Q11" s="10">
        <v>10</v>
      </c>
      <c r="S11" s="12"/>
      <c r="T11" s="13"/>
    </row>
    <row r="12" spans="1:20" x14ac:dyDescent="0.25">
      <c r="A12" s="6">
        <v>40</v>
      </c>
      <c r="B12" s="6">
        <v>0</v>
      </c>
      <c r="C12" s="6">
        <v>3</v>
      </c>
      <c r="D12" s="7">
        <v>3</v>
      </c>
      <c r="E12" s="6">
        <v>1</v>
      </c>
      <c r="F12" s="6">
        <v>1</v>
      </c>
      <c r="G12" s="6">
        <v>300000</v>
      </c>
      <c r="H12" s="6">
        <v>0</v>
      </c>
      <c r="I12" s="8">
        <v>32</v>
      </c>
      <c r="J12" s="8">
        <v>1</v>
      </c>
      <c r="K12" s="8">
        <v>0</v>
      </c>
      <c r="L12" s="9">
        <v>54</v>
      </c>
      <c r="M12" s="10">
        <v>33</v>
      </c>
      <c r="N12" s="10">
        <v>11</v>
      </c>
      <c r="O12" s="10">
        <v>11</v>
      </c>
      <c r="P12" s="10">
        <v>8</v>
      </c>
      <c r="Q12" s="10">
        <v>12</v>
      </c>
      <c r="S12" s="12"/>
      <c r="T12" s="13"/>
    </row>
    <row r="13" spans="1:20" x14ac:dyDescent="0.25">
      <c r="A13" s="6">
        <v>27</v>
      </c>
      <c r="B13" s="6">
        <v>0</v>
      </c>
      <c r="C13" s="6">
        <v>0</v>
      </c>
      <c r="D13" s="7">
        <v>3</v>
      </c>
      <c r="E13" s="6">
        <v>1</v>
      </c>
      <c r="F13" s="6">
        <v>1</v>
      </c>
      <c r="G13" s="6">
        <v>200000</v>
      </c>
      <c r="H13" s="6">
        <v>0</v>
      </c>
      <c r="I13" s="8">
        <v>20</v>
      </c>
      <c r="J13" s="8">
        <v>1</v>
      </c>
      <c r="K13" s="8">
        <v>0</v>
      </c>
      <c r="L13" s="9">
        <v>40</v>
      </c>
      <c r="M13" s="10">
        <v>30</v>
      </c>
      <c r="N13" s="10">
        <v>17</v>
      </c>
      <c r="O13" s="10">
        <v>9</v>
      </c>
      <c r="P13" s="10">
        <v>6</v>
      </c>
      <c r="Q13" s="10">
        <v>11</v>
      </c>
      <c r="S13" s="13"/>
      <c r="T13" s="13"/>
    </row>
    <row r="14" spans="1:20" x14ac:dyDescent="0.25">
      <c r="A14" s="6">
        <v>45</v>
      </c>
      <c r="B14" s="6">
        <v>1</v>
      </c>
      <c r="C14" s="6">
        <v>5</v>
      </c>
      <c r="D14" s="7">
        <v>1</v>
      </c>
      <c r="E14" s="6">
        <v>1</v>
      </c>
      <c r="F14" s="6">
        <v>0</v>
      </c>
      <c r="G14" s="6">
        <v>150000</v>
      </c>
      <c r="H14" s="6">
        <v>0</v>
      </c>
      <c r="I14" s="8">
        <v>21</v>
      </c>
      <c r="J14" s="8">
        <v>1</v>
      </c>
      <c r="K14" s="8">
        <v>0</v>
      </c>
      <c r="L14" s="9">
        <v>29</v>
      </c>
      <c r="M14" s="10">
        <v>30</v>
      </c>
      <c r="N14" s="10">
        <v>20</v>
      </c>
      <c r="O14" s="10">
        <v>18</v>
      </c>
      <c r="P14" s="10">
        <v>7</v>
      </c>
      <c r="Q14" s="10">
        <v>11</v>
      </c>
      <c r="S14" s="13"/>
      <c r="T14" s="13"/>
    </row>
    <row r="15" spans="1:20" x14ac:dyDescent="0.25">
      <c r="A15" s="6">
        <v>38</v>
      </c>
      <c r="B15" s="6">
        <v>1</v>
      </c>
      <c r="C15" s="6">
        <v>5</v>
      </c>
      <c r="D15" s="7">
        <v>1</v>
      </c>
      <c r="E15" s="6">
        <v>1</v>
      </c>
      <c r="F15" s="6">
        <v>1</v>
      </c>
      <c r="G15" s="6">
        <v>250000</v>
      </c>
      <c r="H15" s="6">
        <v>0</v>
      </c>
      <c r="I15" s="8">
        <v>30</v>
      </c>
      <c r="J15" s="8">
        <v>1</v>
      </c>
      <c r="K15" s="8">
        <v>0</v>
      </c>
      <c r="L15" s="9">
        <v>25</v>
      </c>
      <c r="M15" s="10">
        <v>25</v>
      </c>
      <c r="N15" s="10">
        <v>16</v>
      </c>
      <c r="O15" s="10">
        <v>19</v>
      </c>
      <c r="P15" s="10">
        <v>8</v>
      </c>
      <c r="Q15" s="10">
        <v>9</v>
      </c>
    </row>
    <row r="16" spans="1:20" x14ac:dyDescent="0.25">
      <c r="A16" s="6">
        <v>32</v>
      </c>
      <c r="B16" s="6">
        <v>0</v>
      </c>
      <c r="C16" s="6">
        <v>1</v>
      </c>
      <c r="D16" s="7">
        <v>2</v>
      </c>
      <c r="E16" s="6">
        <v>1</v>
      </c>
      <c r="F16" s="6">
        <v>1</v>
      </c>
      <c r="G16" s="6">
        <v>50000</v>
      </c>
      <c r="H16" s="6">
        <v>0</v>
      </c>
      <c r="I16" s="8">
        <v>21</v>
      </c>
      <c r="J16" s="8">
        <v>1</v>
      </c>
      <c r="K16" s="8">
        <v>0</v>
      </c>
      <c r="L16" s="9">
        <v>51</v>
      </c>
      <c r="M16" s="10">
        <v>27</v>
      </c>
      <c r="N16" s="10">
        <v>14</v>
      </c>
      <c r="O16" s="10">
        <v>22</v>
      </c>
      <c r="P16" s="10">
        <v>9</v>
      </c>
      <c r="Q16" s="10">
        <v>12</v>
      </c>
    </row>
    <row r="17" spans="1:17" x14ac:dyDescent="0.25">
      <c r="A17" s="6">
        <v>59</v>
      </c>
      <c r="B17" s="6">
        <v>0</v>
      </c>
      <c r="C17" s="6">
        <v>0</v>
      </c>
      <c r="D17" s="7">
        <v>3</v>
      </c>
      <c r="E17" s="6">
        <v>1</v>
      </c>
      <c r="F17" s="6">
        <v>0</v>
      </c>
      <c r="G17" s="6">
        <v>30000</v>
      </c>
      <c r="H17" s="6">
        <v>0</v>
      </c>
      <c r="I17" s="8">
        <v>20</v>
      </c>
      <c r="J17" s="8">
        <v>1</v>
      </c>
      <c r="K17" s="8">
        <v>0</v>
      </c>
      <c r="L17" s="9">
        <v>25</v>
      </c>
      <c r="M17" s="10">
        <v>20</v>
      </c>
      <c r="N17" s="10">
        <v>8</v>
      </c>
      <c r="O17" s="10">
        <v>12</v>
      </c>
      <c r="P17" s="10">
        <v>6</v>
      </c>
      <c r="Q17" s="10">
        <v>10</v>
      </c>
    </row>
    <row r="18" spans="1:17" x14ac:dyDescent="0.25">
      <c r="A18" s="6">
        <v>41</v>
      </c>
      <c r="B18" s="6">
        <v>0</v>
      </c>
      <c r="C18" s="6">
        <v>6</v>
      </c>
      <c r="D18" s="7">
        <v>2</v>
      </c>
      <c r="E18" s="6">
        <v>1</v>
      </c>
      <c r="F18" s="6">
        <v>1</v>
      </c>
      <c r="G18" s="6">
        <v>130000</v>
      </c>
      <c r="H18" s="6">
        <v>0</v>
      </c>
      <c r="I18" s="8">
        <v>25</v>
      </c>
      <c r="J18" s="8">
        <v>0</v>
      </c>
      <c r="K18" s="8">
        <v>0</v>
      </c>
      <c r="L18" s="9">
        <v>33</v>
      </c>
      <c r="M18" s="10">
        <v>23</v>
      </c>
      <c r="N18" s="10">
        <v>12</v>
      </c>
      <c r="O18" s="10">
        <v>17</v>
      </c>
      <c r="P18" s="10">
        <v>7</v>
      </c>
      <c r="Q18" s="10">
        <v>12</v>
      </c>
    </row>
    <row r="19" spans="1:17" x14ac:dyDescent="0.25">
      <c r="A19" s="6">
        <v>41</v>
      </c>
      <c r="B19" s="6">
        <v>0</v>
      </c>
      <c r="C19" s="6">
        <v>7</v>
      </c>
      <c r="D19" s="7">
        <v>2</v>
      </c>
      <c r="E19" s="6">
        <v>1</v>
      </c>
      <c r="F19" s="6">
        <v>1</v>
      </c>
      <c r="G19" s="6">
        <v>200000</v>
      </c>
      <c r="H19" s="6">
        <v>0</v>
      </c>
      <c r="I19" s="8">
        <v>24</v>
      </c>
      <c r="J19" s="8">
        <v>0</v>
      </c>
      <c r="K19" s="8">
        <v>0</v>
      </c>
      <c r="L19" s="9">
        <v>30</v>
      </c>
      <c r="M19" s="10">
        <v>29</v>
      </c>
      <c r="N19" s="10">
        <v>15</v>
      </c>
      <c r="O19" s="10">
        <v>12</v>
      </c>
      <c r="P19" s="10">
        <v>9</v>
      </c>
      <c r="Q19" s="10">
        <v>12</v>
      </c>
    </row>
    <row r="20" spans="1:17" x14ac:dyDescent="0.25">
      <c r="A20" s="6">
        <v>48</v>
      </c>
      <c r="B20" s="6">
        <v>0</v>
      </c>
      <c r="C20" s="6">
        <v>0</v>
      </c>
      <c r="D20" s="7">
        <v>3</v>
      </c>
      <c r="E20" s="6">
        <v>1</v>
      </c>
      <c r="F20" s="6">
        <v>1</v>
      </c>
      <c r="G20" s="6">
        <v>80000</v>
      </c>
      <c r="H20" s="6">
        <v>1</v>
      </c>
      <c r="I20" s="8">
        <v>25</v>
      </c>
      <c r="J20" s="8">
        <v>1</v>
      </c>
      <c r="K20" s="8">
        <v>0</v>
      </c>
      <c r="L20" s="9">
        <v>29</v>
      </c>
      <c r="M20" s="10">
        <v>20</v>
      </c>
      <c r="N20" s="10">
        <v>12</v>
      </c>
      <c r="O20" s="10">
        <v>7</v>
      </c>
      <c r="P20" s="10">
        <v>1</v>
      </c>
      <c r="Q20" s="10">
        <v>6</v>
      </c>
    </row>
    <row r="21" spans="1:17" x14ac:dyDescent="0.25">
      <c r="A21" s="6">
        <v>39</v>
      </c>
      <c r="B21" s="6">
        <v>0</v>
      </c>
      <c r="C21" s="6">
        <v>9</v>
      </c>
      <c r="D21" s="7">
        <v>2</v>
      </c>
      <c r="E21" s="6">
        <v>1</v>
      </c>
      <c r="F21" s="6">
        <v>0</v>
      </c>
      <c r="G21" s="6">
        <v>50000</v>
      </c>
      <c r="H21" s="6">
        <v>1</v>
      </c>
      <c r="I21" s="8">
        <v>27</v>
      </c>
      <c r="J21" s="8">
        <v>0</v>
      </c>
      <c r="K21" s="8">
        <v>0</v>
      </c>
      <c r="L21" s="9">
        <v>48</v>
      </c>
      <c r="M21" s="10">
        <v>35</v>
      </c>
      <c r="N21" s="10">
        <v>20</v>
      </c>
      <c r="O21" s="10">
        <v>11</v>
      </c>
      <c r="P21" s="10">
        <v>9</v>
      </c>
      <c r="Q21" s="10">
        <v>12</v>
      </c>
    </row>
    <row r="22" spans="1:17" x14ac:dyDescent="0.25">
      <c r="A22" s="6">
        <v>44</v>
      </c>
      <c r="B22" s="6">
        <v>1</v>
      </c>
      <c r="C22" s="6">
        <v>3</v>
      </c>
      <c r="D22" s="7">
        <v>1</v>
      </c>
      <c r="E22" s="6">
        <v>1</v>
      </c>
      <c r="F22" s="6">
        <v>1</v>
      </c>
      <c r="G22" s="6">
        <v>100000</v>
      </c>
      <c r="H22" s="6">
        <v>0</v>
      </c>
      <c r="I22" s="8">
        <v>26</v>
      </c>
      <c r="J22" s="8">
        <v>1</v>
      </c>
      <c r="K22" s="8">
        <v>0</v>
      </c>
      <c r="L22" s="9">
        <v>36</v>
      </c>
      <c r="M22" s="10">
        <v>33</v>
      </c>
      <c r="N22" s="10">
        <v>29</v>
      </c>
      <c r="O22" s="10">
        <v>14</v>
      </c>
      <c r="P22" s="10">
        <v>6</v>
      </c>
      <c r="Q22" s="10">
        <v>12</v>
      </c>
    </row>
    <row r="23" spans="1:17" x14ac:dyDescent="0.25">
      <c r="A23" s="6">
        <v>23</v>
      </c>
      <c r="B23" s="6">
        <v>0</v>
      </c>
      <c r="C23" s="6">
        <v>3</v>
      </c>
      <c r="D23" s="7">
        <v>3</v>
      </c>
      <c r="E23" s="6">
        <v>1</v>
      </c>
      <c r="F23" s="6">
        <v>0</v>
      </c>
      <c r="G23" s="6">
        <v>100000</v>
      </c>
      <c r="H23" s="6">
        <v>0</v>
      </c>
      <c r="I23" s="8">
        <v>20</v>
      </c>
      <c r="J23" s="8">
        <v>1</v>
      </c>
      <c r="K23" s="8">
        <v>0</v>
      </c>
      <c r="L23" s="9">
        <v>38</v>
      </c>
      <c r="M23" s="10">
        <v>15</v>
      </c>
      <c r="N23" s="10">
        <v>12</v>
      </c>
      <c r="O23" s="10">
        <v>11</v>
      </c>
      <c r="P23" s="10">
        <v>6</v>
      </c>
      <c r="Q23" s="10">
        <v>12</v>
      </c>
    </row>
    <row r="24" spans="1:17" x14ac:dyDescent="0.25">
      <c r="A24" s="6">
        <v>18</v>
      </c>
      <c r="B24" s="6">
        <v>0</v>
      </c>
      <c r="C24" s="6">
        <v>9</v>
      </c>
      <c r="D24" s="7">
        <v>4</v>
      </c>
      <c r="E24" s="6">
        <v>1</v>
      </c>
      <c r="F24" s="6">
        <v>0</v>
      </c>
      <c r="G24" s="6">
        <v>270000</v>
      </c>
      <c r="H24" s="6">
        <v>0</v>
      </c>
      <c r="I24" s="8">
        <v>21</v>
      </c>
      <c r="J24" s="8">
        <v>0</v>
      </c>
      <c r="K24" s="8">
        <v>1</v>
      </c>
      <c r="L24" s="9">
        <v>57</v>
      </c>
      <c r="M24" s="10">
        <v>36</v>
      </c>
      <c r="N24" s="10">
        <v>26</v>
      </c>
      <c r="O24" s="10">
        <v>11</v>
      </c>
      <c r="P24" s="10">
        <v>7</v>
      </c>
      <c r="Q24" s="10">
        <v>11</v>
      </c>
    </row>
    <row r="25" spans="1:17" x14ac:dyDescent="0.25">
      <c r="A25" s="6">
        <v>42</v>
      </c>
      <c r="B25" s="6">
        <v>1</v>
      </c>
      <c r="C25" s="6">
        <v>19</v>
      </c>
      <c r="D25" s="7">
        <v>4</v>
      </c>
      <c r="E25" s="6">
        <v>1</v>
      </c>
      <c r="F25" s="6">
        <v>1</v>
      </c>
      <c r="G25" s="6">
        <v>1400000</v>
      </c>
      <c r="H25" s="6">
        <v>0</v>
      </c>
      <c r="I25" s="8">
        <v>22</v>
      </c>
      <c r="J25" s="8">
        <v>0</v>
      </c>
      <c r="K25" s="8">
        <v>1</v>
      </c>
      <c r="L25" s="9">
        <v>53</v>
      </c>
      <c r="M25" s="10">
        <v>32</v>
      </c>
      <c r="N25" s="10">
        <v>22</v>
      </c>
      <c r="O25" s="10">
        <v>14</v>
      </c>
      <c r="P25" s="10">
        <v>8</v>
      </c>
      <c r="Q25" s="10">
        <v>11</v>
      </c>
    </row>
    <row r="26" spans="1:17" x14ac:dyDescent="0.25">
      <c r="A26" s="6">
        <v>73</v>
      </c>
      <c r="B26" s="6">
        <v>1</v>
      </c>
      <c r="C26" s="6">
        <v>0</v>
      </c>
      <c r="D26" s="7">
        <v>1</v>
      </c>
      <c r="E26" s="6">
        <v>1</v>
      </c>
      <c r="F26" s="6">
        <v>1</v>
      </c>
      <c r="G26" s="6">
        <v>38000</v>
      </c>
      <c r="H26" s="6">
        <v>0</v>
      </c>
      <c r="I26" s="8">
        <v>20</v>
      </c>
      <c r="J26" s="8">
        <v>0</v>
      </c>
      <c r="K26" s="8">
        <v>0</v>
      </c>
      <c r="L26" s="9">
        <v>33</v>
      </c>
      <c r="M26" s="10">
        <v>22</v>
      </c>
      <c r="N26" s="10">
        <v>16</v>
      </c>
      <c r="O26" s="10">
        <v>14</v>
      </c>
      <c r="P26" s="10">
        <v>6</v>
      </c>
      <c r="Q26" s="10">
        <v>10</v>
      </c>
    </row>
    <row r="27" spans="1:17" x14ac:dyDescent="0.25">
      <c r="A27" s="6">
        <v>29</v>
      </c>
      <c r="B27" s="6">
        <v>1</v>
      </c>
      <c r="C27" s="6">
        <v>6</v>
      </c>
      <c r="D27" s="7">
        <v>1</v>
      </c>
      <c r="E27" s="6">
        <v>1</v>
      </c>
      <c r="F27" s="6">
        <v>1</v>
      </c>
      <c r="G27" s="6">
        <v>50000</v>
      </c>
      <c r="H27" s="6">
        <v>1</v>
      </c>
      <c r="I27" s="8">
        <v>24</v>
      </c>
      <c r="J27" s="8">
        <v>0</v>
      </c>
      <c r="K27" s="8">
        <v>0</v>
      </c>
      <c r="L27" s="9">
        <v>38</v>
      </c>
      <c r="M27" s="10">
        <v>33</v>
      </c>
      <c r="N27" s="10">
        <v>12</v>
      </c>
      <c r="O27" s="10">
        <v>17</v>
      </c>
      <c r="P27" s="10">
        <v>5</v>
      </c>
      <c r="Q27" s="10">
        <v>9</v>
      </c>
    </row>
    <row r="28" spans="1:17" x14ac:dyDescent="0.25">
      <c r="A28" s="6">
        <v>28</v>
      </c>
      <c r="B28" s="6">
        <v>0</v>
      </c>
      <c r="C28" s="6">
        <v>11</v>
      </c>
      <c r="D28" s="7">
        <v>2</v>
      </c>
      <c r="E28" s="6">
        <v>1</v>
      </c>
      <c r="F28" s="6">
        <v>0</v>
      </c>
      <c r="G28" s="6">
        <v>150000</v>
      </c>
      <c r="H28" s="6">
        <v>0</v>
      </c>
      <c r="I28" s="8">
        <v>26</v>
      </c>
      <c r="J28" s="8">
        <v>0</v>
      </c>
      <c r="K28" s="8">
        <v>0</v>
      </c>
      <c r="L28" s="9">
        <v>56</v>
      </c>
      <c r="M28" s="10">
        <v>35</v>
      </c>
      <c r="N28" s="10">
        <v>19</v>
      </c>
      <c r="O28" s="10">
        <v>16</v>
      </c>
      <c r="P28" s="10">
        <v>8</v>
      </c>
      <c r="Q28" s="10">
        <v>12</v>
      </c>
    </row>
    <row r="29" spans="1:17" x14ac:dyDescent="0.25">
      <c r="A29" s="6">
        <v>28</v>
      </c>
      <c r="B29" s="6">
        <v>0</v>
      </c>
      <c r="C29" s="6">
        <v>5</v>
      </c>
      <c r="D29" s="7">
        <v>3</v>
      </c>
      <c r="E29" s="6">
        <v>1</v>
      </c>
      <c r="F29" s="6">
        <v>1</v>
      </c>
      <c r="G29" s="6">
        <v>150000</v>
      </c>
      <c r="H29" s="6">
        <v>1</v>
      </c>
      <c r="I29" s="8">
        <v>21</v>
      </c>
      <c r="J29" s="8">
        <v>1</v>
      </c>
      <c r="K29" s="8">
        <v>0</v>
      </c>
      <c r="L29" s="9">
        <v>40</v>
      </c>
      <c r="M29" s="10">
        <v>10</v>
      </c>
      <c r="N29" s="10">
        <v>9</v>
      </c>
      <c r="O29" s="10">
        <v>21</v>
      </c>
      <c r="P29" s="10">
        <v>5</v>
      </c>
      <c r="Q29" s="10">
        <v>10</v>
      </c>
    </row>
    <row r="30" spans="1:17" x14ac:dyDescent="0.25">
      <c r="A30" s="6">
        <v>41</v>
      </c>
      <c r="B30" s="6">
        <v>0</v>
      </c>
      <c r="C30" s="6">
        <v>11</v>
      </c>
      <c r="D30" s="7">
        <v>1</v>
      </c>
      <c r="E30" s="6">
        <v>1</v>
      </c>
      <c r="F30" s="6">
        <v>1</v>
      </c>
      <c r="G30" s="6">
        <v>125000</v>
      </c>
      <c r="H30" s="6">
        <v>1</v>
      </c>
      <c r="I30" s="8">
        <v>23</v>
      </c>
      <c r="J30" s="8">
        <v>0</v>
      </c>
      <c r="K30" s="8">
        <v>0</v>
      </c>
      <c r="L30" s="9">
        <v>40</v>
      </c>
      <c r="M30" s="10">
        <v>28</v>
      </c>
      <c r="N30" s="10">
        <v>20</v>
      </c>
      <c r="O30" s="10">
        <v>9</v>
      </c>
      <c r="P30" s="10">
        <v>9</v>
      </c>
      <c r="Q30" s="10">
        <v>12</v>
      </c>
    </row>
    <row r="31" spans="1:17" x14ac:dyDescent="0.25">
      <c r="A31" s="6">
        <v>21</v>
      </c>
      <c r="B31" s="6">
        <v>0</v>
      </c>
      <c r="C31" s="6">
        <v>0</v>
      </c>
      <c r="D31" s="7">
        <v>2</v>
      </c>
      <c r="E31" s="6">
        <v>1</v>
      </c>
      <c r="F31" s="6">
        <v>1</v>
      </c>
      <c r="G31" s="6">
        <v>100000</v>
      </c>
      <c r="H31" s="6">
        <v>0</v>
      </c>
      <c r="I31" s="8">
        <v>24</v>
      </c>
      <c r="J31" s="8">
        <v>0</v>
      </c>
      <c r="K31" s="8">
        <v>0</v>
      </c>
      <c r="L31" s="9">
        <v>27</v>
      </c>
      <c r="M31" s="10">
        <v>15</v>
      </c>
      <c r="N31" s="10">
        <v>7</v>
      </c>
      <c r="O31" s="10">
        <v>20</v>
      </c>
      <c r="P31" s="10">
        <v>5</v>
      </c>
      <c r="Q31" s="10">
        <v>10</v>
      </c>
    </row>
    <row r="32" spans="1:17" x14ac:dyDescent="0.25">
      <c r="A32" s="6">
        <v>36</v>
      </c>
      <c r="B32" s="6">
        <v>1</v>
      </c>
      <c r="C32" s="6">
        <v>3</v>
      </c>
      <c r="D32" s="7">
        <v>4</v>
      </c>
      <c r="E32" s="6">
        <v>1</v>
      </c>
      <c r="F32" s="6">
        <v>1</v>
      </c>
      <c r="G32" s="6">
        <v>400000</v>
      </c>
      <c r="H32" s="6">
        <v>0</v>
      </c>
      <c r="I32" s="8">
        <v>25</v>
      </c>
      <c r="J32" s="8">
        <v>1</v>
      </c>
      <c r="K32" s="8">
        <v>0</v>
      </c>
      <c r="L32" s="9">
        <v>30</v>
      </c>
      <c r="M32" s="10">
        <v>34</v>
      </c>
      <c r="N32" s="10">
        <v>27</v>
      </c>
      <c r="O32" s="10">
        <v>10</v>
      </c>
      <c r="P32" s="10">
        <v>8</v>
      </c>
      <c r="Q32" s="10">
        <v>12</v>
      </c>
    </row>
    <row r="33" spans="1:17" x14ac:dyDescent="0.25">
      <c r="A33" s="6">
        <v>22</v>
      </c>
      <c r="B33" s="6">
        <v>1</v>
      </c>
      <c r="C33" s="6">
        <v>11</v>
      </c>
      <c r="D33" s="7">
        <v>3</v>
      </c>
      <c r="E33" s="6">
        <v>1</v>
      </c>
      <c r="F33" s="6">
        <v>1</v>
      </c>
      <c r="G33" s="6">
        <v>400000</v>
      </c>
      <c r="H33" s="6">
        <v>1</v>
      </c>
      <c r="I33" s="8">
        <v>22</v>
      </c>
      <c r="J33" s="8">
        <v>0</v>
      </c>
      <c r="K33" s="8">
        <v>0</v>
      </c>
      <c r="L33" s="9">
        <v>55</v>
      </c>
      <c r="M33" s="10">
        <v>35</v>
      </c>
      <c r="N33" s="10">
        <v>32</v>
      </c>
      <c r="O33" s="10">
        <v>20</v>
      </c>
      <c r="P33" s="10">
        <v>8</v>
      </c>
      <c r="Q33" s="10">
        <v>11</v>
      </c>
    </row>
    <row r="34" spans="1:17" x14ac:dyDescent="0.25">
      <c r="A34" s="6">
        <v>30</v>
      </c>
      <c r="B34" s="6">
        <v>1</v>
      </c>
      <c r="C34" s="6">
        <v>6</v>
      </c>
      <c r="D34" s="7">
        <v>3</v>
      </c>
      <c r="E34" s="6">
        <v>1</v>
      </c>
      <c r="F34" s="6">
        <v>0</v>
      </c>
      <c r="G34" s="6">
        <v>500000</v>
      </c>
      <c r="H34" s="6">
        <v>1</v>
      </c>
      <c r="I34" s="8">
        <v>21</v>
      </c>
      <c r="J34" s="8">
        <v>0</v>
      </c>
      <c r="K34" s="8">
        <v>0</v>
      </c>
      <c r="L34" s="9">
        <v>43</v>
      </c>
      <c r="M34" s="10">
        <v>22</v>
      </c>
      <c r="N34" s="10">
        <v>12</v>
      </c>
      <c r="O34" s="10">
        <v>11</v>
      </c>
      <c r="P34" s="10">
        <v>5</v>
      </c>
      <c r="Q34" s="10">
        <v>9</v>
      </c>
    </row>
    <row r="35" spans="1:17" x14ac:dyDescent="0.25">
      <c r="A35" s="6">
        <v>35</v>
      </c>
      <c r="B35" s="6">
        <v>1</v>
      </c>
      <c r="C35" s="6">
        <v>4</v>
      </c>
      <c r="D35" s="7">
        <v>1</v>
      </c>
      <c r="E35" s="6">
        <v>1</v>
      </c>
      <c r="F35" s="6">
        <v>1</v>
      </c>
      <c r="G35" s="6">
        <v>100000</v>
      </c>
      <c r="H35" s="6">
        <v>0</v>
      </c>
      <c r="I35" s="8">
        <v>25</v>
      </c>
      <c r="J35" s="8">
        <v>1</v>
      </c>
      <c r="K35" s="8">
        <v>0</v>
      </c>
      <c r="L35" s="9">
        <v>36</v>
      </c>
      <c r="M35" s="10">
        <v>32</v>
      </c>
      <c r="N35" s="10">
        <v>28</v>
      </c>
      <c r="O35" s="10">
        <v>14</v>
      </c>
      <c r="P35" s="10">
        <v>6</v>
      </c>
      <c r="Q35" s="10">
        <v>9</v>
      </c>
    </row>
    <row r="36" spans="1:17" x14ac:dyDescent="0.25">
      <c r="A36" s="6">
        <v>35</v>
      </c>
      <c r="B36" s="6">
        <v>0</v>
      </c>
      <c r="C36" s="6">
        <v>7</v>
      </c>
      <c r="D36" s="7">
        <v>3</v>
      </c>
      <c r="E36" s="6">
        <v>1</v>
      </c>
      <c r="F36" s="6">
        <v>1</v>
      </c>
      <c r="G36" s="6">
        <v>200000</v>
      </c>
      <c r="H36" s="6">
        <v>0</v>
      </c>
      <c r="I36" s="8">
        <v>22</v>
      </c>
      <c r="J36" s="8">
        <v>0</v>
      </c>
      <c r="K36" s="8">
        <v>0</v>
      </c>
      <c r="L36" s="9">
        <v>34</v>
      </c>
      <c r="M36" s="10">
        <v>28</v>
      </c>
      <c r="N36" s="10">
        <v>18</v>
      </c>
      <c r="O36" s="10">
        <v>16</v>
      </c>
      <c r="P36" s="10">
        <v>8</v>
      </c>
      <c r="Q36" s="10">
        <v>10</v>
      </c>
    </row>
    <row r="37" spans="1:17" x14ac:dyDescent="0.25">
      <c r="A37" s="6">
        <v>36</v>
      </c>
      <c r="B37" s="6">
        <v>1</v>
      </c>
      <c r="C37" s="6">
        <v>9</v>
      </c>
      <c r="D37" s="7">
        <v>1</v>
      </c>
      <c r="E37" s="6">
        <v>1</v>
      </c>
      <c r="F37" s="6">
        <v>1</v>
      </c>
      <c r="G37" s="6">
        <v>250000</v>
      </c>
      <c r="H37" s="6">
        <v>0</v>
      </c>
      <c r="I37" s="8">
        <v>24</v>
      </c>
      <c r="J37" s="8">
        <v>0</v>
      </c>
      <c r="K37" s="8">
        <v>0</v>
      </c>
      <c r="L37" s="9">
        <v>16</v>
      </c>
      <c r="M37" s="10">
        <v>28</v>
      </c>
      <c r="N37" s="10">
        <v>20</v>
      </c>
      <c r="O37" s="10">
        <v>17</v>
      </c>
      <c r="P37" s="10">
        <v>9</v>
      </c>
      <c r="Q37" s="10">
        <v>12</v>
      </c>
    </row>
    <row r="38" spans="1:17" x14ac:dyDescent="0.25">
      <c r="A38" s="6">
        <v>31</v>
      </c>
      <c r="B38" s="6">
        <v>0</v>
      </c>
      <c r="C38" s="6">
        <v>2</v>
      </c>
      <c r="D38" s="7">
        <v>3</v>
      </c>
      <c r="E38" s="6">
        <v>1</v>
      </c>
      <c r="F38" s="6">
        <v>1</v>
      </c>
      <c r="G38" s="6">
        <v>100000</v>
      </c>
      <c r="H38" s="6">
        <v>0</v>
      </c>
      <c r="I38" s="8">
        <v>25</v>
      </c>
      <c r="J38" s="8">
        <v>1</v>
      </c>
      <c r="K38" s="8">
        <v>0</v>
      </c>
      <c r="L38" s="9">
        <v>35</v>
      </c>
      <c r="M38" s="10">
        <v>28</v>
      </c>
      <c r="N38" s="10">
        <v>22</v>
      </c>
      <c r="O38" s="10">
        <v>16</v>
      </c>
      <c r="P38" s="10">
        <v>7</v>
      </c>
      <c r="Q38" s="10">
        <v>12</v>
      </c>
    </row>
    <row r="39" spans="1:17" x14ac:dyDescent="0.25">
      <c r="A39" s="6">
        <v>66</v>
      </c>
      <c r="B39" s="6">
        <v>1</v>
      </c>
      <c r="C39" s="6">
        <v>0</v>
      </c>
      <c r="D39" s="7">
        <v>3</v>
      </c>
      <c r="E39" s="6">
        <v>1</v>
      </c>
      <c r="F39" s="6">
        <v>0</v>
      </c>
      <c r="G39" s="6">
        <v>200000</v>
      </c>
      <c r="H39" s="6">
        <v>0</v>
      </c>
      <c r="I39" s="8">
        <v>26</v>
      </c>
      <c r="J39" s="8">
        <v>0</v>
      </c>
      <c r="K39" s="8">
        <v>0</v>
      </c>
      <c r="L39" s="9">
        <v>25</v>
      </c>
      <c r="M39" s="10">
        <v>18</v>
      </c>
      <c r="N39" s="10">
        <v>12</v>
      </c>
      <c r="O39" s="10">
        <v>10</v>
      </c>
      <c r="P39" s="10">
        <v>7</v>
      </c>
      <c r="Q39" s="10">
        <v>12</v>
      </c>
    </row>
    <row r="40" spans="1:17" x14ac:dyDescent="0.25">
      <c r="A40" s="6">
        <v>19</v>
      </c>
      <c r="B40" s="6">
        <v>0</v>
      </c>
      <c r="C40" s="6">
        <v>9</v>
      </c>
      <c r="D40" s="7">
        <v>3</v>
      </c>
      <c r="E40" s="6">
        <v>1</v>
      </c>
      <c r="F40" s="6">
        <v>1</v>
      </c>
      <c r="G40" s="6">
        <v>300000</v>
      </c>
      <c r="H40" s="6">
        <v>1</v>
      </c>
      <c r="I40" s="8">
        <v>24</v>
      </c>
      <c r="J40" s="8">
        <v>0</v>
      </c>
      <c r="K40" s="8">
        <v>0</v>
      </c>
      <c r="L40" s="9">
        <v>53</v>
      </c>
      <c r="M40" s="10">
        <v>23</v>
      </c>
      <c r="N40" s="10">
        <v>10</v>
      </c>
      <c r="O40" s="10">
        <v>19</v>
      </c>
      <c r="P40" s="10">
        <v>9</v>
      </c>
      <c r="Q40" s="10">
        <v>12</v>
      </c>
    </row>
    <row r="41" spans="1:17" x14ac:dyDescent="0.25">
      <c r="A41" s="6">
        <v>24</v>
      </c>
      <c r="B41" s="6">
        <v>1</v>
      </c>
      <c r="C41" s="6">
        <v>12</v>
      </c>
      <c r="D41" s="7">
        <v>4</v>
      </c>
      <c r="E41" s="6">
        <v>1</v>
      </c>
      <c r="F41" s="6">
        <v>0</v>
      </c>
      <c r="G41" s="6">
        <v>400000</v>
      </c>
      <c r="H41" s="6">
        <v>1</v>
      </c>
      <c r="I41" s="8">
        <v>27</v>
      </c>
      <c r="J41" s="8">
        <v>0</v>
      </c>
      <c r="K41" s="8">
        <v>0</v>
      </c>
      <c r="L41" s="9">
        <v>45</v>
      </c>
      <c r="M41" s="10">
        <v>27</v>
      </c>
      <c r="N41" s="10">
        <v>24</v>
      </c>
      <c r="O41" s="10">
        <v>26</v>
      </c>
      <c r="P41" s="10">
        <v>10</v>
      </c>
      <c r="Q41" s="10">
        <v>12</v>
      </c>
    </row>
    <row r="42" spans="1:17" x14ac:dyDescent="0.25">
      <c r="A42" s="6">
        <v>64</v>
      </c>
      <c r="B42" s="6">
        <v>0</v>
      </c>
      <c r="C42" s="6">
        <v>0</v>
      </c>
      <c r="D42" s="7">
        <v>3</v>
      </c>
      <c r="E42" s="6">
        <v>1</v>
      </c>
      <c r="F42" s="6">
        <v>0</v>
      </c>
      <c r="G42" s="6">
        <v>200000</v>
      </c>
      <c r="H42" s="6">
        <v>1</v>
      </c>
      <c r="I42" s="8">
        <v>27</v>
      </c>
      <c r="J42" s="8">
        <v>0</v>
      </c>
      <c r="K42" s="8">
        <v>0</v>
      </c>
      <c r="L42" s="9">
        <v>39</v>
      </c>
      <c r="M42" s="10">
        <v>17</v>
      </c>
      <c r="N42" s="10">
        <v>12</v>
      </c>
      <c r="O42" s="10">
        <v>12</v>
      </c>
      <c r="P42" s="10">
        <v>7</v>
      </c>
      <c r="Q42" s="10">
        <v>12</v>
      </c>
    </row>
    <row r="43" spans="1:17" x14ac:dyDescent="0.25">
      <c r="A43" s="6">
        <v>19</v>
      </c>
      <c r="B43" s="6">
        <v>1</v>
      </c>
      <c r="C43" s="6">
        <v>9</v>
      </c>
      <c r="D43" s="7">
        <v>1</v>
      </c>
      <c r="E43" s="6">
        <v>1</v>
      </c>
      <c r="F43" s="6">
        <v>0</v>
      </c>
      <c r="G43" s="6">
        <v>200000</v>
      </c>
      <c r="H43" s="6">
        <v>0</v>
      </c>
      <c r="I43" s="8">
        <v>21</v>
      </c>
      <c r="J43" s="8">
        <v>0</v>
      </c>
      <c r="K43" s="8">
        <v>1</v>
      </c>
      <c r="L43" s="9">
        <v>52</v>
      </c>
      <c r="M43" s="10">
        <v>27</v>
      </c>
      <c r="N43" s="10">
        <v>26</v>
      </c>
      <c r="O43" s="10">
        <v>19</v>
      </c>
      <c r="P43" s="10">
        <v>6</v>
      </c>
      <c r="Q43" s="10">
        <v>9</v>
      </c>
    </row>
    <row r="44" spans="1:17" x14ac:dyDescent="0.25">
      <c r="A44" s="6">
        <v>33</v>
      </c>
      <c r="B44" s="6">
        <v>1</v>
      </c>
      <c r="C44" s="6">
        <v>5</v>
      </c>
      <c r="D44" s="7">
        <v>1</v>
      </c>
      <c r="E44" s="6">
        <v>1</v>
      </c>
      <c r="F44" s="6">
        <v>0</v>
      </c>
      <c r="G44" s="6">
        <v>80000</v>
      </c>
      <c r="H44" s="6">
        <v>0</v>
      </c>
      <c r="I44" s="8">
        <v>28</v>
      </c>
      <c r="J44" s="8">
        <v>1</v>
      </c>
      <c r="K44" s="8">
        <v>0</v>
      </c>
      <c r="L44" s="9">
        <v>36</v>
      </c>
      <c r="M44" s="10">
        <v>23</v>
      </c>
      <c r="N44" s="10">
        <v>12</v>
      </c>
      <c r="O44" s="10">
        <v>17</v>
      </c>
      <c r="P44" s="10">
        <v>6</v>
      </c>
      <c r="Q44" s="10">
        <v>12</v>
      </c>
    </row>
    <row r="45" spans="1:17" x14ac:dyDescent="0.25">
      <c r="A45" s="6">
        <v>35</v>
      </c>
      <c r="B45" s="6">
        <v>0</v>
      </c>
      <c r="C45" s="6">
        <v>9</v>
      </c>
      <c r="D45" s="7">
        <v>2</v>
      </c>
      <c r="E45" s="6">
        <v>1</v>
      </c>
      <c r="F45" s="6">
        <v>1</v>
      </c>
      <c r="G45" s="6">
        <v>200000</v>
      </c>
      <c r="H45" s="6">
        <v>0</v>
      </c>
      <c r="I45" s="8">
        <v>25</v>
      </c>
      <c r="J45" s="8">
        <v>0</v>
      </c>
      <c r="K45" s="8">
        <v>0</v>
      </c>
      <c r="L45" s="9">
        <v>41</v>
      </c>
      <c r="M45" s="10">
        <v>14</v>
      </c>
      <c r="N45" s="10">
        <v>10</v>
      </c>
      <c r="O45" s="10">
        <v>14</v>
      </c>
      <c r="P45" s="10">
        <v>6</v>
      </c>
      <c r="Q45" s="10">
        <v>12</v>
      </c>
    </row>
    <row r="46" spans="1:17" x14ac:dyDescent="0.25">
      <c r="A46" s="6">
        <v>36</v>
      </c>
      <c r="B46" s="6">
        <v>0</v>
      </c>
      <c r="C46" s="6">
        <v>2</v>
      </c>
      <c r="D46" s="7">
        <v>2</v>
      </c>
      <c r="E46" s="6">
        <v>1</v>
      </c>
      <c r="F46" s="6">
        <v>1</v>
      </c>
      <c r="G46" s="6">
        <v>200000</v>
      </c>
      <c r="H46" s="6">
        <v>1</v>
      </c>
      <c r="I46" s="8">
        <v>25</v>
      </c>
      <c r="J46" s="8">
        <v>1</v>
      </c>
      <c r="K46" s="8">
        <v>0</v>
      </c>
      <c r="L46" s="9">
        <v>46</v>
      </c>
      <c r="M46" s="10">
        <v>17</v>
      </c>
      <c r="N46" s="10">
        <v>12</v>
      </c>
      <c r="O46" s="10">
        <v>12</v>
      </c>
      <c r="P46" s="10">
        <v>4</v>
      </c>
      <c r="Q46" s="10">
        <v>12</v>
      </c>
    </row>
    <row r="47" spans="1:17" x14ac:dyDescent="0.25">
      <c r="A47" s="6">
        <v>28</v>
      </c>
      <c r="B47" s="6">
        <v>1</v>
      </c>
      <c r="C47" s="6">
        <v>8</v>
      </c>
      <c r="D47" s="7">
        <v>3</v>
      </c>
      <c r="E47" s="6">
        <v>0</v>
      </c>
      <c r="F47" s="6">
        <v>1</v>
      </c>
      <c r="G47" s="6">
        <v>600000</v>
      </c>
      <c r="H47" s="6">
        <v>1</v>
      </c>
      <c r="I47" s="8">
        <v>28</v>
      </c>
      <c r="J47" s="8">
        <v>0</v>
      </c>
      <c r="K47" s="8">
        <v>0</v>
      </c>
      <c r="L47" s="9">
        <v>44</v>
      </c>
      <c r="M47" s="10">
        <v>20</v>
      </c>
      <c r="N47" s="10">
        <v>9</v>
      </c>
      <c r="O47" s="10">
        <v>13</v>
      </c>
      <c r="P47" s="10">
        <v>8</v>
      </c>
      <c r="Q47" s="10">
        <v>12</v>
      </c>
    </row>
    <row r="48" spans="1:17" x14ac:dyDescent="0.25">
      <c r="A48" s="6">
        <v>30</v>
      </c>
      <c r="B48" s="6">
        <v>0</v>
      </c>
      <c r="C48" s="6">
        <v>3</v>
      </c>
      <c r="D48" s="7">
        <v>2</v>
      </c>
      <c r="E48" s="6">
        <v>1</v>
      </c>
      <c r="F48" s="6">
        <v>1</v>
      </c>
      <c r="G48" s="6">
        <v>150000</v>
      </c>
      <c r="H48" s="6">
        <v>1</v>
      </c>
      <c r="I48" s="8">
        <v>26</v>
      </c>
      <c r="J48" s="8">
        <v>1</v>
      </c>
      <c r="K48" s="8">
        <v>0</v>
      </c>
      <c r="L48" s="9">
        <v>47</v>
      </c>
      <c r="M48" s="10">
        <v>21</v>
      </c>
      <c r="N48" s="10">
        <v>11</v>
      </c>
      <c r="O48" s="10">
        <v>16</v>
      </c>
      <c r="P48" s="10">
        <v>10</v>
      </c>
      <c r="Q48" s="10">
        <v>12</v>
      </c>
    </row>
    <row r="49" spans="1:17" x14ac:dyDescent="0.25">
      <c r="A49" s="6">
        <v>18</v>
      </c>
      <c r="B49" s="6">
        <v>0</v>
      </c>
      <c r="C49" s="6">
        <v>12</v>
      </c>
      <c r="D49" s="7">
        <v>2</v>
      </c>
      <c r="E49" s="6">
        <v>1</v>
      </c>
      <c r="F49" s="6">
        <v>0</v>
      </c>
      <c r="G49" s="6">
        <v>500000</v>
      </c>
      <c r="H49" s="6">
        <v>0</v>
      </c>
      <c r="I49" s="8">
        <v>24</v>
      </c>
      <c r="J49" s="8">
        <v>0</v>
      </c>
      <c r="K49" s="8">
        <v>1</v>
      </c>
      <c r="L49" s="9">
        <v>49</v>
      </c>
      <c r="M49" s="10">
        <v>21</v>
      </c>
      <c r="N49" s="10">
        <v>14</v>
      </c>
      <c r="O49" s="10">
        <v>13</v>
      </c>
      <c r="P49" s="10">
        <v>4</v>
      </c>
      <c r="Q49" s="10">
        <v>11</v>
      </c>
    </row>
    <row r="50" spans="1:17" x14ac:dyDescent="0.25">
      <c r="A50" s="6">
        <v>41</v>
      </c>
      <c r="B50" s="6">
        <v>0</v>
      </c>
      <c r="C50" s="6">
        <v>4</v>
      </c>
      <c r="D50" s="7">
        <v>3</v>
      </c>
      <c r="E50" s="6">
        <v>1</v>
      </c>
      <c r="F50" s="6">
        <v>1</v>
      </c>
      <c r="G50" s="6">
        <v>50000</v>
      </c>
      <c r="H50" s="6">
        <v>1</v>
      </c>
      <c r="I50" s="8">
        <v>23</v>
      </c>
      <c r="J50" s="8">
        <v>1</v>
      </c>
      <c r="K50" s="8">
        <v>0</v>
      </c>
      <c r="L50" s="9">
        <v>44</v>
      </c>
      <c r="M50" s="10">
        <v>18</v>
      </c>
      <c r="N50" s="10">
        <v>14</v>
      </c>
      <c r="O50" s="10">
        <v>8</v>
      </c>
      <c r="P50" s="10">
        <v>4</v>
      </c>
      <c r="Q50" s="10">
        <v>6</v>
      </c>
    </row>
    <row r="51" spans="1:17" x14ac:dyDescent="0.25">
      <c r="A51" s="6">
        <v>34</v>
      </c>
      <c r="B51" s="6">
        <v>1</v>
      </c>
      <c r="C51" s="6">
        <v>11</v>
      </c>
      <c r="D51" s="7">
        <v>1</v>
      </c>
      <c r="E51" s="6">
        <v>1</v>
      </c>
      <c r="F51" s="6">
        <v>1</v>
      </c>
      <c r="G51" s="6">
        <v>120000</v>
      </c>
      <c r="H51" s="6">
        <v>0</v>
      </c>
      <c r="I51" s="8">
        <v>22</v>
      </c>
      <c r="J51" s="8">
        <v>0</v>
      </c>
      <c r="K51" s="8">
        <v>0</v>
      </c>
      <c r="L51" s="9">
        <v>44</v>
      </c>
      <c r="M51" s="10">
        <v>34</v>
      </c>
      <c r="N51" s="10">
        <v>32</v>
      </c>
      <c r="O51" s="10">
        <v>24</v>
      </c>
      <c r="P51" s="10">
        <v>12</v>
      </c>
      <c r="Q51" s="10">
        <v>12</v>
      </c>
    </row>
    <row r="52" spans="1:17" x14ac:dyDescent="0.25">
      <c r="A52" s="6">
        <v>28</v>
      </c>
      <c r="B52" s="6">
        <v>1</v>
      </c>
      <c r="C52" s="6">
        <v>11</v>
      </c>
      <c r="D52" s="7">
        <v>3</v>
      </c>
      <c r="E52" s="6">
        <v>1</v>
      </c>
      <c r="F52" s="6">
        <v>1</v>
      </c>
      <c r="G52" s="6">
        <v>180000</v>
      </c>
      <c r="H52" s="6">
        <v>0</v>
      </c>
      <c r="I52" s="8">
        <v>25</v>
      </c>
      <c r="J52" s="8">
        <v>0</v>
      </c>
      <c r="K52" s="8">
        <v>0</v>
      </c>
      <c r="L52" s="9">
        <v>49</v>
      </c>
      <c r="M52" s="10">
        <v>35</v>
      </c>
      <c r="N52" s="10">
        <v>29</v>
      </c>
      <c r="O52" s="10">
        <v>13</v>
      </c>
      <c r="P52" s="10">
        <v>8</v>
      </c>
      <c r="Q52" s="10">
        <v>10</v>
      </c>
    </row>
    <row r="53" spans="1:17" x14ac:dyDescent="0.25">
      <c r="A53" s="6">
        <v>23</v>
      </c>
      <c r="B53" s="6">
        <v>0</v>
      </c>
      <c r="C53" s="6">
        <v>11</v>
      </c>
      <c r="D53" s="7">
        <v>3</v>
      </c>
      <c r="E53" s="6">
        <v>1</v>
      </c>
      <c r="F53" s="6">
        <v>0</v>
      </c>
      <c r="G53" s="6">
        <v>300000</v>
      </c>
      <c r="H53" s="6">
        <v>0</v>
      </c>
      <c r="I53" s="8">
        <v>24</v>
      </c>
      <c r="J53" s="8">
        <v>0</v>
      </c>
      <c r="K53" s="8">
        <v>0</v>
      </c>
      <c r="L53" s="9">
        <v>41</v>
      </c>
      <c r="M53" s="10">
        <v>36</v>
      </c>
      <c r="N53" s="10">
        <v>30</v>
      </c>
      <c r="O53" s="10">
        <v>17</v>
      </c>
      <c r="P53" s="10">
        <v>7</v>
      </c>
      <c r="Q53" s="10">
        <v>11</v>
      </c>
    </row>
    <row r="54" spans="1:17" x14ac:dyDescent="0.25">
      <c r="A54" s="6">
        <v>26</v>
      </c>
      <c r="B54" s="6">
        <v>0</v>
      </c>
      <c r="C54" s="6">
        <v>11</v>
      </c>
      <c r="D54" s="7">
        <v>3</v>
      </c>
      <c r="E54" s="6">
        <v>1</v>
      </c>
      <c r="F54" s="6">
        <v>1</v>
      </c>
      <c r="G54" s="6">
        <v>200000</v>
      </c>
      <c r="H54" s="6">
        <v>0</v>
      </c>
      <c r="I54" s="8">
        <v>28</v>
      </c>
      <c r="J54" s="8">
        <v>0</v>
      </c>
      <c r="K54" s="8">
        <v>0</v>
      </c>
      <c r="L54" s="9">
        <v>31</v>
      </c>
      <c r="M54" s="10">
        <v>32</v>
      </c>
      <c r="N54" s="10">
        <v>28</v>
      </c>
      <c r="O54" s="10">
        <v>23</v>
      </c>
      <c r="P54" s="10">
        <v>10</v>
      </c>
      <c r="Q54" s="10">
        <v>12</v>
      </c>
    </row>
    <row r="55" spans="1:17" x14ac:dyDescent="0.25">
      <c r="A55" s="6">
        <v>42</v>
      </c>
      <c r="B55" s="6">
        <v>0</v>
      </c>
      <c r="C55" s="6">
        <v>4</v>
      </c>
      <c r="D55" s="7">
        <v>3</v>
      </c>
      <c r="E55" s="6">
        <v>1</v>
      </c>
      <c r="F55" s="6">
        <v>1</v>
      </c>
      <c r="G55" s="6">
        <v>200000</v>
      </c>
      <c r="H55" s="6">
        <v>0</v>
      </c>
      <c r="I55" s="8">
        <v>26</v>
      </c>
      <c r="J55" s="8">
        <v>1</v>
      </c>
      <c r="K55" s="8">
        <v>0</v>
      </c>
      <c r="L55" s="9">
        <v>22</v>
      </c>
      <c r="M55" s="10">
        <v>26</v>
      </c>
      <c r="N55" s="10">
        <v>16</v>
      </c>
      <c r="O55" s="10">
        <v>15</v>
      </c>
      <c r="P55" s="10">
        <v>7</v>
      </c>
      <c r="Q55" s="10">
        <v>11</v>
      </c>
    </row>
    <row r="56" spans="1:17" x14ac:dyDescent="0.25">
      <c r="A56" s="6">
        <v>21</v>
      </c>
      <c r="B56" s="6">
        <v>1</v>
      </c>
      <c r="C56" s="6">
        <v>11</v>
      </c>
      <c r="D56" s="7">
        <v>3</v>
      </c>
      <c r="E56" s="6">
        <v>1</v>
      </c>
      <c r="F56" s="6">
        <v>0</v>
      </c>
      <c r="G56" s="6">
        <v>150000</v>
      </c>
      <c r="H56" s="6">
        <v>0</v>
      </c>
      <c r="I56" s="8">
        <v>20</v>
      </c>
      <c r="J56" s="8">
        <v>0</v>
      </c>
      <c r="K56" s="8">
        <v>0</v>
      </c>
      <c r="L56" s="9">
        <v>46</v>
      </c>
      <c r="M56" s="10">
        <v>32</v>
      </c>
      <c r="N56" s="10">
        <v>28</v>
      </c>
      <c r="O56" s="10">
        <v>18</v>
      </c>
      <c r="P56" s="10">
        <v>9</v>
      </c>
      <c r="Q56" s="10">
        <v>12</v>
      </c>
    </row>
    <row r="57" spans="1:17" x14ac:dyDescent="0.25">
      <c r="A57" s="6">
        <v>18</v>
      </c>
      <c r="B57" s="6">
        <v>1</v>
      </c>
      <c r="C57" s="6">
        <v>11</v>
      </c>
      <c r="D57" s="7">
        <v>1</v>
      </c>
      <c r="E57" s="6">
        <v>1</v>
      </c>
      <c r="F57" s="6">
        <v>0</v>
      </c>
      <c r="G57" s="6">
        <v>250000</v>
      </c>
      <c r="H57" s="6">
        <v>1</v>
      </c>
      <c r="I57" s="8">
        <v>21</v>
      </c>
      <c r="J57" s="8">
        <v>0</v>
      </c>
      <c r="K57" s="8">
        <v>0</v>
      </c>
      <c r="L57" s="9">
        <v>45</v>
      </c>
      <c r="M57" s="10">
        <v>35</v>
      </c>
      <c r="N57" s="10">
        <v>30</v>
      </c>
      <c r="O57" s="10">
        <v>19</v>
      </c>
      <c r="P57" s="10">
        <v>11</v>
      </c>
      <c r="Q57" s="10">
        <v>12</v>
      </c>
    </row>
    <row r="58" spans="1:17" x14ac:dyDescent="0.25">
      <c r="A58" s="6">
        <v>21</v>
      </c>
      <c r="B58" s="6">
        <v>1</v>
      </c>
      <c r="C58" s="6">
        <v>8</v>
      </c>
      <c r="D58" s="7">
        <v>1</v>
      </c>
      <c r="E58" s="6">
        <v>0</v>
      </c>
      <c r="F58" s="6">
        <v>1</v>
      </c>
      <c r="G58" s="6">
        <v>300000</v>
      </c>
      <c r="H58" s="6">
        <v>0</v>
      </c>
      <c r="I58" s="8">
        <v>25</v>
      </c>
      <c r="J58" s="8">
        <v>0</v>
      </c>
      <c r="K58" s="8">
        <v>0</v>
      </c>
      <c r="L58" s="9">
        <v>48</v>
      </c>
      <c r="M58" s="10">
        <v>33</v>
      </c>
      <c r="N58" s="10">
        <v>22</v>
      </c>
      <c r="O58" s="10">
        <v>15</v>
      </c>
      <c r="P58" s="10">
        <v>8</v>
      </c>
      <c r="Q58" s="10">
        <v>10</v>
      </c>
    </row>
    <row r="59" spans="1:17" x14ac:dyDescent="0.25">
      <c r="A59" s="6">
        <v>21</v>
      </c>
      <c r="B59" s="6">
        <v>0</v>
      </c>
      <c r="C59" s="6">
        <v>8</v>
      </c>
      <c r="D59" s="7">
        <v>2</v>
      </c>
      <c r="E59" s="6">
        <v>1</v>
      </c>
      <c r="F59" s="6">
        <v>1</v>
      </c>
      <c r="G59" s="6">
        <v>100000</v>
      </c>
      <c r="H59" s="6">
        <v>0</v>
      </c>
      <c r="I59" s="8">
        <v>23</v>
      </c>
      <c r="J59" s="8">
        <v>0</v>
      </c>
      <c r="K59" s="8">
        <v>0</v>
      </c>
      <c r="L59" s="9">
        <v>42</v>
      </c>
      <c r="M59" s="10">
        <v>36</v>
      </c>
      <c r="N59" s="10">
        <v>27</v>
      </c>
      <c r="O59" s="10">
        <v>24</v>
      </c>
      <c r="P59" s="10">
        <v>9</v>
      </c>
      <c r="Q59" s="10">
        <v>11</v>
      </c>
    </row>
    <row r="60" spans="1:17" x14ac:dyDescent="0.25">
      <c r="A60" s="6">
        <v>19</v>
      </c>
      <c r="B60" s="6">
        <v>1</v>
      </c>
      <c r="C60" s="6">
        <v>6</v>
      </c>
      <c r="D60" s="7">
        <v>3</v>
      </c>
      <c r="E60" s="6">
        <v>1</v>
      </c>
      <c r="F60" s="6">
        <v>1</v>
      </c>
      <c r="G60" s="6">
        <v>100000</v>
      </c>
      <c r="H60" s="6">
        <v>0</v>
      </c>
      <c r="I60" s="8">
        <v>19</v>
      </c>
      <c r="J60" s="8">
        <v>0</v>
      </c>
      <c r="K60" s="8">
        <v>0</v>
      </c>
      <c r="L60" s="9">
        <v>42</v>
      </c>
      <c r="M60" s="10">
        <v>33</v>
      </c>
      <c r="N60" s="10">
        <v>8</v>
      </c>
      <c r="O60" s="10">
        <v>13</v>
      </c>
      <c r="P60" s="10">
        <v>6</v>
      </c>
      <c r="Q60" s="10">
        <v>10</v>
      </c>
    </row>
    <row r="61" spans="1:17" x14ac:dyDescent="0.25">
      <c r="A61" s="6">
        <v>45</v>
      </c>
      <c r="B61" s="6">
        <v>1</v>
      </c>
      <c r="C61" s="6">
        <v>2</v>
      </c>
      <c r="D61" s="7">
        <v>1</v>
      </c>
      <c r="E61" s="6">
        <v>1</v>
      </c>
      <c r="F61" s="6">
        <v>1</v>
      </c>
      <c r="G61" s="6">
        <v>50000</v>
      </c>
      <c r="H61" s="6">
        <v>0</v>
      </c>
      <c r="I61" s="8">
        <v>24</v>
      </c>
      <c r="J61" s="8">
        <v>1</v>
      </c>
      <c r="K61" s="8">
        <v>0</v>
      </c>
      <c r="L61" s="9">
        <v>28</v>
      </c>
      <c r="M61" s="10">
        <v>8</v>
      </c>
      <c r="N61" s="10">
        <v>6</v>
      </c>
      <c r="O61" s="10">
        <v>15</v>
      </c>
      <c r="P61" s="10">
        <v>4</v>
      </c>
      <c r="Q61" s="10">
        <v>12</v>
      </c>
    </row>
    <row r="62" spans="1:17" x14ac:dyDescent="0.25">
      <c r="A62" s="6">
        <v>28</v>
      </c>
      <c r="B62" s="6">
        <v>1</v>
      </c>
      <c r="C62" s="6">
        <v>11</v>
      </c>
      <c r="D62" s="7">
        <v>3</v>
      </c>
      <c r="E62" s="6">
        <v>1</v>
      </c>
      <c r="F62" s="6">
        <v>1</v>
      </c>
      <c r="G62" s="6">
        <v>125000</v>
      </c>
      <c r="H62" s="6">
        <v>1</v>
      </c>
      <c r="I62" s="8">
        <v>25</v>
      </c>
      <c r="J62" s="8">
        <v>0</v>
      </c>
      <c r="K62" s="8">
        <v>0</v>
      </c>
      <c r="L62" s="9">
        <v>40</v>
      </c>
      <c r="M62" s="10">
        <v>36</v>
      </c>
      <c r="N62" s="10">
        <v>31</v>
      </c>
      <c r="O62" s="10">
        <v>22</v>
      </c>
      <c r="P62" s="10">
        <v>10</v>
      </c>
      <c r="Q62" s="10">
        <v>12</v>
      </c>
    </row>
    <row r="63" spans="1:17" x14ac:dyDescent="0.25">
      <c r="A63" s="6">
        <v>29</v>
      </c>
      <c r="B63" s="6">
        <v>0</v>
      </c>
      <c r="C63" s="6">
        <v>5</v>
      </c>
      <c r="D63" s="7">
        <v>3</v>
      </c>
      <c r="E63" s="6">
        <v>1</v>
      </c>
      <c r="F63" s="6">
        <v>1</v>
      </c>
      <c r="G63" s="6">
        <v>50000</v>
      </c>
      <c r="H63" s="6">
        <v>0</v>
      </c>
      <c r="I63" s="8">
        <v>20</v>
      </c>
      <c r="J63" s="8">
        <v>1</v>
      </c>
      <c r="K63" s="8">
        <v>0</v>
      </c>
      <c r="L63" s="9">
        <v>28</v>
      </c>
      <c r="M63" s="10">
        <v>35</v>
      </c>
      <c r="N63" s="10">
        <v>16</v>
      </c>
      <c r="O63" s="10">
        <v>16</v>
      </c>
      <c r="P63" s="10">
        <v>9</v>
      </c>
      <c r="Q63" s="10">
        <v>11</v>
      </c>
    </row>
    <row r="64" spans="1:17" x14ac:dyDescent="0.25">
      <c r="A64" s="6">
        <v>24</v>
      </c>
      <c r="B64" s="6">
        <v>0</v>
      </c>
      <c r="C64" s="6">
        <v>5</v>
      </c>
      <c r="D64" s="7">
        <v>2</v>
      </c>
      <c r="E64" s="6">
        <v>1</v>
      </c>
      <c r="F64" s="6">
        <v>1</v>
      </c>
      <c r="G64" s="6">
        <v>100000</v>
      </c>
      <c r="H64" s="6">
        <v>0</v>
      </c>
      <c r="I64" s="8">
        <v>21</v>
      </c>
      <c r="J64" s="8">
        <v>1</v>
      </c>
      <c r="K64" s="8">
        <v>0</v>
      </c>
      <c r="L64" s="9">
        <v>39</v>
      </c>
      <c r="M64" s="10">
        <v>3</v>
      </c>
      <c r="N64" s="10">
        <v>6</v>
      </c>
      <c r="O64" s="10">
        <v>11</v>
      </c>
      <c r="P64" s="10">
        <v>9</v>
      </c>
      <c r="Q64" s="10">
        <v>12</v>
      </c>
    </row>
    <row r="65" spans="1:17" x14ac:dyDescent="0.25">
      <c r="A65" s="6">
        <v>57</v>
      </c>
      <c r="B65" s="6">
        <v>0</v>
      </c>
      <c r="C65" s="6">
        <v>0</v>
      </c>
      <c r="D65" s="7">
        <v>2</v>
      </c>
      <c r="E65" s="6">
        <v>1</v>
      </c>
      <c r="F65" s="6">
        <v>1</v>
      </c>
      <c r="G65" s="6">
        <v>50000</v>
      </c>
      <c r="H65" s="6">
        <v>0</v>
      </c>
      <c r="I65" s="8">
        <v>21</v>
      </c>
      <c r="J65" s="8">
        <v>1</v>
      </c>
      <c r="K65" s="8">
        <v>0</v>
      </c>
      <c r="L65" s="9">
        <v>28</v>
      </c>
      <c r="M65" s="10">
        <v>9</v>
      </c>
      <c r="N65" s="10">
        <v>3</v>
      </c>
      <c r="O65" s="10">
        <v>8</v>
      </c>
      <c r="P65" s="10">
        <v>1</v>
      </c>
      <c r="Q65" s="10">
        <v>11</v>
      </c>
    </row>
    <row r="66" spans="1:17" x14ac:dyDescent="0.25">
      <c r="A66" s="6">
        <v>23</v>
      </c>
      <c r="B66" s="6">
        <v>1</v>
      </c>
      <c r="C66" s="6">
        <v>7</v>
      </c>
      <c r="D66" s="7">
        <v>1</v>
      </c>
      <c r="E66" s="6">
        <v>1</v>
      </c>
      <c r="F66" s="6">
        <v>1</v>
      </c>
      <c r="G66" s="6">
        <v>300000</v>
      </c>
      <c r="H66" s="6">
        <v>0</v>
      </c>
      <c r="I66" s="8">
        <v>27</v>
      </c>
      <c r="J66" s="8">
        <v>0</v>
      </c>
      <c r="K66" s="8">
        <v>0</v>
      </c>
      <c r="L66" s="9">
        <v>52</v>
      </c>
      <c r="M66" s="10">
        <v>22</v>
      </c>
      <c r="N66" s="10">
        <v>13</v>
      </c>
      <c r="O66" s="10">
        <v>22</v>
      </c>
      <c r="P66" s="10">
        <v>10</v>
      </c>
      <c r="Q66" s="10">
        <v>12</v>
      </c>
    </row>
    <row r="67" spans="1:17" x14ac:dyDescent="0.25">
      <c r="A67" s="6">
        <v>37</v>
      </c>
      <c r="B67" s="6">
        <v>0</v>
      </c>
      <c r="C67" s="6">
        <v>2</v>
      </c>
      <c r="D67" s="7">
        <v>2</v>
      </c>
      <c r="E67" s="6">
        <v>1</v>
      </c>
      <c r="F67" s="6">
        <v>1</v>
      </c>
      <c r="G67" s="6">
        <v>150000</v>
      </c>
      <c r="H67" s="6">
        <v>0</v>
      </c>
      <c r="I67" s="8">
        <v>28</v>
      </c>
      <c r="J67" s="8">
        <v>1</v>
      </c>
      <c r="K67" s="8">
        <v>0</v>
      </c>
      <c r="L67" s="9">
        <v>34</v>
      </c>
      <c r="M67" s="10">
        <v>35</v>
      </c>
      <c r="N67" s="10">
        <v>4</v>
      </c>
      <c r="O67" s="10">
        <v>11</v>
      </c>
      <c r="P67" s="10">
        <v>6</v>
      </c>
      <c r="Q67" s="10">
        <v>11</v>
      </c>
    </row>
    <row r="68" spans="1:17" x14ac:dyDescent="0.25">
      <c r="A68" s="6">
        <v>31</v>
      </c>
      <c r="B68" s="6">
        <v>1</v>
      </c>
      <c r="C68" s="6">
        <v>6</v>
      </c>
      <c r="D68" s="7">
        <v>1</v>
      </c>
      <c r="E68" s="6">
        <v>1</v>
      </c>
      <c r="F68" s="6">
        <v>1</v>
      </c>
      <c r="G68" s="6">
        <v>100000</v>
      </c>
      <c r="H68" s="6">
        <v>0</v>
      </c>
      <c r="I68" s="8">
        <v>28</v>
      </c>
      <c r="J68" s="8">
        <v>0</v>
      </c>
      <c r="K68" s="8">
        <v>0</v>
      </c>
      <c r="L68" s="9">
        <v>33</v>
      </c>
      <c r="M68" s="10">
        <v>30</v>
      </c>
      <c r="N68" s="10">
        <v>18</v>
      </c>
      <c r="O68" s="10">
        <v>18</v>
      </c>
      <c r="P68" s="10">
        <v>8</v>
      </c>
      <c r="Q68" s="10">
        <v>11</v>
      </c>
    </row>
    <row r="69" spans="1:17" x14ac:dyDescent="0.25">
      <c r="A69" s="6">
        <v>33</v>
      </c>
      <c r="B69" s="6">
        <v>1</v>
      </c>
      <c r="C69" s="6">
        <v>5</v>
      </c>
      <c r="D69" s="7">
        <v>3</v>
      </c>
      <c r="E69" s="6">
        <v>1</v>
      </c>
      <c r="F69" s="6">
        <v>1</v>
      </c>
      <c r="G69" s="6">
        <v>300000</v>
      </c>
      <c r="H69" s="6">
        <v>0</v>
      </c>
      <c r="I69" s="8">
        <v>26</v>
      </c>
      <c r="J69" s="8">
        <v>1</v>
      </c>
      <c r="K69" s="8">
        <v>0</v>
      </c>
      <c r="L69" s="9">
        <v>28</v>
      </c>
      <c r="M69" s="10">
        <v>22</v>
      </c>
      <c r="N69" s="10">
        <v>8</v>
      </c>
      <c r="O69" s="10">
        <v>10</v>
      </c>
      <c r="P69" s="10">
        <v>5</v>
      </c>
      <c r="Q69" s="10">
        <v>9</v>
      </c>
    </row>
    <row r="70" spans="1:17" x14ac:dyDescent="0.25">
      <c r="A70" s="6">
        <v>44</v>
      </c>
      <c r="B70" s="6">
        <v>0</v>
      </c>
      <c r="C70" s="6">
        <v>0</v>
      </c>
      <c r="D70" s="7">
        <v>3</v>
      </c>
      <c r="E70" s="6">
        <v>1</v>
      </c>
      <c r="F70" s="6">
        <v>0</v>
      </c>
      <c r="G70" s="6">
        <v>300000</v>
      </c>
      <c r="H70" s="6">
        <v>0</v>
      </c>
      <c r="I70" s="8">
        <v>26</v>
      </c>
      <c r="J70" s="8">
        <v>1</v>
      </c>
      <c r="K70" s="8">
        <v>0</v>
      </c>
      <c r="L70" s="9">
        <v>22</v>
      </c>
      <c r="M70" s="10">
        <v>18</v>
      </c>
      <c r="N70" s="10">
        <v>9</v>
      </c>
      <c r="O70" s="10">
        <v>11</v>
      </c>
      <c r="P70" s="10">
        <v>5</v>
      </c>
      <c r="Q70" s="10">
        <v>8</v>
      </c>
    </row>
    <row r="71" spans="1:17" x14ac:dyDescent="0.25">
      <c r="A71" s="6">
        <v>21</v>
      </c>
      <c r="B71" s="6">
        <v>0</v>
      </c>
      <c r="C71" s="6">
        <v>11</v>
      </c>
      <c r="D71" s="7">
        <v>3</v>
      </c>
      <c r="E71" s="6">
        <v>1</v>
      </c>
      <c r="F71" s="6">
        <v>1</v>
      </c>
      <c r="G71" s="6">
        <v>50000</v>
      </c>
      <c r="H71" s="6">
        <v>0</v>
      </c>
      <c r="I71" s="8">
        <v>24</v>
      </c>
      <c r="J71" s="8">
        <v>0</v>
      </c>
      <c r="K71" s="8">
        <v>0</v>
      </c>
      <c r="L71" s="9">
        <v>55</v>
      </c>
      <c r="M71" s="10">
        <v>35</v>
      </c>
      <c r="N71" s="10">
        <v>32</v>
      </c>
      <c r="O71" s="10">
        <v>22</v>
      </c>
      <c r="P71" s="10">
        <v>12</v>
      </c>
      <c r="Q71" s="10">
        <v>12</v>
      </c>
    </row>
    <row r="72" spans="1:17" x14ac:dyDescent="0.25">
      <c r="A72" s="6">
        <v>36</v>
      </c>
      <c r="B72" s="6">
        <v>0</v>
      </c>
      <c r="C72" s="6">
        <v>3</v>
      </c>
      <c r="D72" s="7">
        <v>3</v>
      </c>
      <c r="E72" s="6">
        <v>1</v>
      </c>
      <c r="F72" s="6">
        <v>0</v>
      </c>
      <c r="G72" s="6">
        <v>150000</v>
      </c>
      <c r="H72" s="6">
        <v>0</v>
      </c>
      <c r="I72" s="8">
        <v>23</v>
      </c>
      <c r="J72" s="8">
        <v>1</v>
      </c>
      <c r="K72" s="8">
        <v>0</v>
      </c>
      <c r="L72" s="9">
        <v>33</v>
      </c>
      <c r="M72" s="10">
        <v>19</v>
      </c>
      <c r="N72" s="10">
        <v>7</v>
      </c>
      <c r="O72" s="10">
        <v>10</v>
      </c>
      <c r="P72" s="10">
        <v>5</v>
      </c>
      <c r="Q72" s="10">
        <v>8</v>
      </c>
    </row>
    <row r="73" spans="1:17" x14ac:dyDescent="0.25">
      <c r="A73" s="6">
        <v>47</v>
      </c>
      <c r="B73" s="6">
        <v>0</v>
      </c>
      <c r="C73" s="6">
        <v>0</v>
      </c>
      <c r="D73" s="7">
        <v>3</v>
      </c>
      <c r="E73" s="6">
        <v>1</v>
      </c>
      <c r="F73" s="6">
        <v>1</v>
      </c>
      <c r="G73" s="6">
        <v>300000</v>
      </c>
      <c r="H73" s="6">
        <v>0</v>
      </c>
      <c r="I73" s="8">
        <v>24</v>
      </c>
      <c r="J73" s="8">
        <v>1</v>
      </c>
      <c r="K73" s="8">
        <v>0</v>
      </c>
      <c r="L73" s="9">
        <v>20</v>
      </c>
      <c r="M73" s="10">
        <v>17</v>
      </c>
      <c r="N73" s="10">
        <v>9</v>
      </c>
      <c r="O73" s="10">
        <v>11</v>
      </c>
      <c r="P73" s="10">
        <v>6</v>
      </c>
      <c r="Q73" s="10">
        <v>10</v>
      </c>
    </row>
    <row r="74" spans="1:17" x14ac:dyDescent="0.25">
      <c r="A74" s="6">
        <v>37</v>
      </c>
      <c r="B74" s="6">
        <v>1</v>
      </c>
      <c r="C74" s="6">
        <v>4</v>
      </c>
      <c r="D74" s="7">
        <v>3</v>
      </c>
      <c r="E74" s="6">
        <v>1</v>
      </c>
      <c r="F74" s="6">
        <v>1</v>
      </c>
      <c r="G74" s="6">
        <v>200000</v>
      </c>
      <c r="H74" s="6">
        <v>1</v>
      </c>
      <c r="I74" s="8">
        <v>25</v>
      </c>
      <c r="J74" s="8">
        <v>1</v>
      </c>
      <c r="K74" s="8">
        <v>0</v>
      </c>
      <c r="L74" s="9">
        <v>28</v>
      </c>
      <c r="M74" s="10">
        <v>12</v>
      </c>
      <c r="N74" s="10">
        <v>6</v>
      </c>
      <c r="O74" s="10">
        <v>10</v>
      </c>
      <c r="P74" s="10">
        <v>4</v>
      </c>
      <c r="Q74" s="10">
        <v>11</v>
      </c>
    </row>
    <row r="75" spans="1:17" x14ac:dyDescent="0.25">
      <c r="A75" s="6">
        <v>59</v>
      </c>
      <c r="B75" s="6">
        <v>0</v>
      </c>
      <c r="C75" s="6">
        <v>0</v>
      </c>
      <c r="D75" s="7">
        <v>2</v>
      </c>
      <c r="E75" s="6">
        <v>1</v>
      </c>
      <c r="F75" s="6">
        <v>1</v>
      </c>
      <c r="G75" s="6">
        <v>100000</v>
      </c>
      <c r="H75" s="6">
        <v>0</v>
      </c>
      <c r="I75" s="8">
        <v>21</v>
      </c>
      <c r="J75" s="8">
        <v>1</v>
      </c>
      <c r="K75" s="8">
        <v>0</v>
      </c>
      <c r="L75" s="9">
        <v>17</v>
      </c>
      <c r="M75" s="10">
        <v>8</v>
      </c>
      <c r="N75" s="10">
        <v>6</v>
      </c>
      <c r="O75" s="10">
        <v>10</v>
      </c>
      <c r="P75" s="10">
        <v>6</v>
      </c>
      <c r="Q75" s="10">
        <v>10</v>
      </c>
    </row>
    <row r="76" spans="1:17" x14ac:dyDescent="0.25">
      <c r="A76" s="6">
        <v>27</v>
      </c>
      <c r="B76" s="6">
        <v>0</v>
      </c>
      <c r="C76" s="6">
        <v>11</v>
      </c>
      <c r="D76" s="7">
        <v>3</v>
      </c>
      <c r="E76" s="6">
        <v>0</v>
      </c>
      <c r="F76" s="6">
        <v>1</v>
      </c>
      <c r="G76" s="6">
        <v>150000</v>
      </c>
      <c r="H76" s="6">
        <v>0</v>
      </c>
      <c r="I76" s="8">
        <v>25</v>
      </c>
      <c r="J76" s="8">
        <v>0</v>
      </c>
      <c r="K76" s="8">
        <v>0</v>
      </c>
      <c r="L76" s="9">
        <v>57</v>
      </c>
      <c r="M76" s="10">
        <v>32</v>
      </c>
      <c r="N76" s="10">
        <v>28</v>
      </c>
      <c r="O76" s="10">
        <v>15</v>
      </c>
      <c r="P76" s="10">
        <v>7</v>
      </c>
      <c r="Q76" s="10">
        <v>10</v>
      </c>
    </row>
    <row r="77" spans="1:17" x14ac:dyDescent="0.25">
      <c r="A77" s="6">
        <v>29</v>
      </c>
      <c r="B77" s="6">
        <v>0</v>
      </c>
      <c r="C77" s="6">
        <v>11</v>
      </c>
      <c r="D77" s="7">
        <v>3</v>
      </c>
      <c r="E77" s="6">
        <v>1</v>
      </c>
      <c r="F77" s="6">
        <v>0</v>
      </c>
      <c r="G77" s="6">
        <v>250000</v>
      </c>
      <c r="H77" s="6">
        <v>0</v>
      </c>
      <c r="I77" s="8">
        <v>24</v>
      </c>
      <c r="J77" s="8">
        <v>0</v>
      </c>
      <c r="K77" s="8">
        <v>0</v>
      </c>
      <c r="L77" s="9">
        <v>49</v>
      </c>
      <c r="M77" s="11">
        <v>36</v>
      </c>
      <c r="N77" s="11">
        <v>32</v>
      </c>
      <c r="O77" s="11">
        <v>21</v>
      </c>
      <c r="P77" s="11">
        <v>8</v>
      </c>
      <c r="Q77" s="11">
        <v>12</v>
      </c>
    </row>
    <row r="78" spans="1:17" x14ac:dyDescent="0.25">
      <c r="A78" s="6">
        <v>31</v>
      </c>
      <c r="B78" s="6">
        <v>0</v>
      </c>
      <c r="C78" s="6">
        <v>0</v>
      </c>
      <c r="D78" s="7">
        <v>3</v>
      </c>
      <c r="E78" s="6">
        <v>1</v>
      </c>
      <c r="F78" s="6">
        <v>0</v>
      </c>
      <c r="G78" s="6">
        <v>300000</v>
      </c>
      <c r="H78" s="6">
        <v>0</v>
      </c>
      <c r="I78" s="8">
        <v>26</v>
      </c>
      <c r="J78" s="8">
        <v>1</v>
      </c>
      <c r="K78" s="8">
        <v>0</v>
      </c>
      <c r="L78" s="9">
        <v>27</v>
      </c>
      <c r="M78" s="10">
        <v>12</v>
      </c>
      <c r="N78" s="10">
        <v>8</v>
      </c>
      <c r="O78" s="10">
        <v>10</v>
      </c>
      <c r="P78" s="10">
        <v>4</v>
      </c>
      <c r="Q78" s="10">
        <v>9</v>
      </c>
    </row>
    <row r="79" spans="1:17" x14ac:dyDescent="0.25">
      <c r="A79" s="6">
        <v>35</v>
      </c>
      <c r="B79" s="6">
        <v>1</v>
      </c>
      <c r="C79" s="6">
        <v>5</v>
      </c>
      <c r="D79" s="7">
        <v>3</v>
      </c>
      <c r="E79" s="6">
        <v>1</v>
      </c>
      <c r="F79" s="6">
        <v>1</v>
      </c>
      <c r="G79" s="6">
        <v>50000</v>
      </c>
      <c r="H79" s="6">
        <v>0</v>
      </c>
      <c r="I79" s="8">
        <v>26</v>
      </c>
      <c r="J79" s="8">
        <v>1</v>
      </c>
      <c r="K79" s="8">
        <v>0</v>
      </c>
      <c r="L79" s="9">
        <v>42</v>
      </c>
      <c r="M79" s="10">
        <v>35</v>
      </c>
      <c r="N79" s="10">
        <v>34</v>
      </c>
      <c r="O79" s="10">
        <v>10</v>
      </c>
      <c r="P79" s="10">
        <v>5</v>
      </c>
      <c r="Q79" s="10">
        <v>11</v>
      </c>
    </row>
    <row r="80" spans="1:17" x14ac:dyDescent="0.25">
      <c r="A80" s="6">
        <v>49</v>
      </c>
      <c r="B80" s="6">
        <v>1</v>
      </c>
      <c r="C80" s="6">
        <v>5</v>
      </c>
      <c r="D80" s="7">
        <v>4</v>
      </c>
      <c r="E80" s="6">
        <v>1</v>
      </c>
      <c r="F80" s="6">
        <v>1</v>
      </c>
      <c r="G80" s="6">
        <v>200000</v>
      </c>
      <c r="H80" s="6">
        <v>0</v>
      </c>
      <c r="I80" s="8">
        <v>25</v>
      </c>
      <c r="J80" s="8">
        <v>1</v>
      </c>
      <c r="K80" s="8">
        <v>0</v>
      </c>
      <c r="L80" s="9">
        <v>29</v>
      </c>
      <c r="M80" s="10">
        <v>24</v>
      </c>
      <c r="N80" s="10">
        <v>18</v>
      </c>
      <c r="O80" s="10">
        <v>12</v>
      </c>
      <c r="P80" s="10">
        <v>1</v>
      </c>
      <c r="Q80" s="10">
        <v>10</v>
      </c>
    </row>
    <row r="81" spans="1:17" x14ac:dyDescent="0.25">
      <c r="A81" s="6">
        <v>18</v>
      </c>
      <c r="B81" s="6">
        <v>1</v>
      </c>
      <c r="C81" s="6">
        <v>9</v>
      </c>
      <c r="D81" s="7">
        <v>4</v>
      </c>
      <c r="E81" s="6">
        <v>1</v>
      </c>
      <c r="F81" s="6">
        <v>1</v>
      </c>
      <c r="G81" s="6">
        <v>600000</v>
      </c>
      <c r="H81" s="6">
        <v>0</v>
      </c>
      <c r="I81" s="8">
        <v>25</v>
      </c>
      <c r="J81" s="8">
        <v>0</v>
      </c>
      <c r="K81" s="8">
        <v>1</v>
      </c>
      <c r="L81" s="9">
        <v>45</v>
      </c>
      <c r="M81" s="10">
        <v>36</v>
      </c>
      <c r="N81" s="10">
        <v>23</v>
      </c>
      <c r="O81" s="10">
        <v>22</v>
      </c>
      <c r="P81" s="10">
        <v>8</v>
      </c>
      <c r="Q81" s="10">
        <v>12</v>
      </c>
    </row>
    <row r="82" spans="1:17" x14ac:dyDescent="0.25">
      <c r="A82" s="6">
        <v>56</v>
      </c>
      <c r="B82" s="6">
        <v>1</v>
      </c>
      <c r="C82" s="6">
        <v>0</v>
      </c>
      <c r="D82" s="7">
        <v>1</v>
      </c>
      <c r="E82" s="6">
        <v>1</v>
      </c>
      <c r="F82" s="6">
        <v>1</v>
      </c>
      <c r="G82" s="6">
        <v>400000</v>
      </c>
      <c r="H82" s="6">
        <v>0</v>
      </c>
      <c r="I82" s="8">
        <v>28</v>
      </c>
      <c r="J82" s="8">
        <v>1</v>
      </c>
      <c r="K82" s="8">
        <v>0</v>
      </c>
      <c r="L82" s="9">
        <v>36</v>
      </c>
      <c r="M82" s="10">
        <v>5</v>
      </c>
      <c r="N82" s="10">
        <v>0</v>
      </c>
      <c r="O82" s="10">
        <v>13</v>
      </c>
      <c r="P82" s="10">
        <v>6</v>
      </c>
      <c r="Q82" s="10">
        <v>10</v>
      </c>
    </row>
    <row r="83" spans="1:17" x14ac:dyDescent="0.25">
      <c r="A83" s="6">
        <v>22</v>
      </c>
      <c r="B83" s="6">
        <v>1</v>
      </c>
      <c r="C83" s="6">
        <v>9</v>
      </c>
      <c r="D83" s="7">
        <v>1</v>
      </c>
      <c r="E83" s="6">
        <v>0</v>
      </c>
      <c r="F83" s="6">
        <v>1</v>
      </c>
      <c r="G83" s="6">
        <v>50000</v>
      </c>
      <c r="H83" s="6">
        <v>0</v>
      </c>
      <c r="I83" s="8">
        <v>22</v>
      </c>
      <c r="J83" s="8">
        <v>0</v>
      </c>
      <c r="K83" s="8">
        <v>1</v>
      </c>
      <c r="L83" s="9">
        <v>40</v>
      </c>
      <c r="M83" s="10">
        <v>33</v>
      </c>
      <c r="N83" s="10">
        <v>21</v>
      </c>
      <c r="O83" s="10">
        <v>26</v>
      </c>
      <c r="P83" s="10">
        <v>10</v>
      </c>
      <c r="Q83" s="10">
        <v>12</v>
      </c>
    </row>
    <row r="84" spans="1:17" x14ac:dyDescent="0.25">
      <c r="A84" s="6">
        <v>38</v>
      </c>
      <c r="B84" s="6">
        <v>1</v>
      </c>
      <c r="C84" s="6">
        <v>3</v>
      </c>
      <c r="D84" s="7">
        <v>3</v>
      </c>
      <c r="E84" s="6">
        <v>1</v>
      </c>
      <c r="F84" s="6">
        <v>1</v>
      </c>
      <c r="G84" s="6">
        <v>300000</v>
      </c>
      <c r="H84" s="6">
        <v>0</v>
      </c>
      <c r="I84" s="8">
        <v>22</v>
      </c>
      <c r="J84" s="8">
        <v>1</v>
      </c>
      <c r="K84" s="8">
        <v>0</v>
      </c>
      <c r="L84" s="9">
        <v>36</v>
      </c>
      <c r="M84" s="10">
        <v>36</v>
      </c>
      <c r="N84" s="10">
        <v>30</v>
      </c>
      <c r="O84" s="10">
        <v>20</v>
      </c>
      <c r="P84" s="10">
        <v>9</v>
      </c>
      <c r="Q84" s="10">
        <v>11</v>
      </c>
    </row>
    <row r="85" spans="1:17" x14ac:dyDescent="0.25">
      <c r="A85" s="6">
        <v>20</v>
      </c>
      <c r="B85" s="6">
        <v>0</v>
      </c>
      <c r="C85" s="6">
        <v>9</v>
      </c>
      <c r="D85" s="7">
        <v>3</v>
      </c>
      <c r="E85" s="6">
        <v>0</v>
      </c>
      <c r="F85" s="6">
        <v>1</v>
      </c>
      <c r="G85" s="6">
        <v>150000</v>
      </c>
      <c r="H85" s="6">
        <v>0</v>
      </c>
      <c r="I85" s="8">
        <v>20</v>
      </c>
      <c r="J85" s="8">
        <v>0</v>
      </c>
      <c r="K85" s="8">
        <v>0</v>
      </c>
      <c r="L85" s="9">
        <v>46</v>
      </c>
      <c r="M85" s="10">
        <v>33</v>
      </c>
      <c r="N85" s="10">
        <v>28</v>
      </c>
      <c r="O85" s="10">
        <v>21</v>
      </c>
      <c r="P85" s="10">
        <v>9</v>
      </c>
      <c r="Q85" s="10">
        <v>9</v>
      </c>
    </row>
    <row r="86" spans="1:17" x14ac:dyDescent="0.25">
      <c r="A86" s="6">
        <v>29</v>
      </c>
      <c r="B86" s="6">
        <v>1</v>
      </c>
      <c r="C86" s="6">
        <v>9</v>
      </c>
      <c r="D86" s="7">
        <v>1</v>
      </c>
      <c r="E86" s="6">
        <v>1</v>
      </c>
      <c r="F86" s="6">
        <v>1</v>
      </c>
      <c r="G86" s="6">
        <v>100000</v>
      </c>
      <c r="H86" s="6">
        <v>1</v>
      </c>
      <c r="I86" s="8">
        <v>25</v>
      </c>
      <c r="J86" s="8">
        <v>0</v>
      </c>
      <c r="K86" s="8">
        <v>0</v>
      </c>
      <c r="L86" s="9">
        <v>34</v>
      </c>
      <c r="M86" s="10">
        <v>31</v>
      </c>
      <c r="N86" s="10">
        <v>22</v>
      </c>
      <c r="O86" s="10">
        <v>23</v>
      </c>
      <c r="P86" s="10">
        <v>11</v>
      </c>
      <c r="Q86" s="10">
        <v>11</v>
      </c>
    </row>
    <row r="87" spans="1:17" x14ac:dyDescent="0.25">
      <c r="A87" s="6">
        <v>33</v>
      </c>
      <c r="B87" s="6">
        <v>1</v>
      </c>
      <c r="C87" s="6">
        <v>13</v>
      </c>
      <c r="D87" s="7">
        <v>4</v>
      </c>
      <c r="E87" s="6">
        <v>1</v>
      </c>
      <c r="F87" s="6">
        <v>1</v>
      </c>
      <c r="G87" s="6">
        <v>850000</v>
      </c>
      <c r="H87" s="6">
        <v>1</v>
      </c>
      <c r="I87" s="8">
        <v>23</v>
      </c>
      <c r="J87" s="8">
        <v>0</v>
      </c>
      <c r="K87" s="8">
        <v>1</v>
      </c>
      <c r="L87" s="9">
        <v>47</v>
      </c>
      <c r="M87" s="10">
        <v>32</v>
      </c>
      <c r="N87" s="10">
        <v>27</v>
      </c>
      <c r="O87" s="10">
        <v>20</v>
      </c>
      <c r="P87" s="10">
        <v>9</v>
      </c>
      <c r="Q87" s="10">
        <v>11</v>
      </c>
    </row>
    <row r="88" spans="1:17" x14ac:dyDescent="0.25">
      <c r="A88" s="6">
        <v>25</v>
      </c>
      <c r="B88" s="6">
        <v>0</v>
      </c>
      <c r="C88" s="6">
        <v>11</v>
      </c>
      <c r="D88" s="7">
        <v>3</v>
      </c>
      <c r="E88" s="6">
        <v>1</v>
      </c>
      <c r="F88" s="6">
        <v>1</v>
      </c>
      <c r="G88" s="6">
        <v>100000</v>
      </c>
      <c r="H88" s="6">
        <v>0</v>
      </c>
      <c r="I88" s="8">
        <v>26</v>
      </c>
      <c r="J88" s="8">
        <v>0</v>
      </c>
      <c r="K88" s="8">
        <v>0</v>
      </c>
      <c r="L88" s="9">
        <v>33</v>
      </c>
      <c r="M88" s="10">
        <v>34</v>
      </c>
      <c r="N88" s="10">
        <v>14</v>
      </c>
      <c r="O88" s="10">
        <v>18</v>
      </c>
      <c r="P88" s="10">
        <v>7</v>
      </c>
      <c r="Q88" s="10">
        <v>10</v>
      </c>
    </row>
    <row r="89" spans="1:17" x14ac:dyDescent="0.25">
      <c r="A89" s="6">
        <v>22</v>
      </c>
      <c r="B89" s="6">
        <v>1</v>
      </c>
      <c r="C89" s="6">
        <v>8</v>
      </c>
      <c r="D89" s="7">
        <v>3</v>
      </c>
      <c r="E89" s="6">
        <v>1</v>
      </c>
      <c r="F89" s="6">
        <v>1</v>
      </c>
      <c r="G89" s="6">
        <v>120000</v>
      </c>
      <c r="H89" s="6">
        <v>1</v>
      </c>
      <c r="I89" s="8">
        <v>25</v>
      </c>
      <c r="J89" s="8">
        <v>0</v>
      </c>
      <c r="K89" s="8">
        <v>0</v>
      </c>
      <c r="L89" s="9">
        <v>36</v>
      </c>
      <c r="M89" s="10">
        <v>30</v>
      </c>
      <c r="N89" s="10">
        <v>22</v>
      </c>
      <c r="O89" s="10">
        <v>14</v>
      </c>
      <c r="P89" s="10">
        <v>2</v>
      </c>
      <c r="Q89" s="10">
        <v>12</v>
      </c>
    </row>
  </sheetData>
  <dataValidations count="2">
    <dataValidation type="whole" allowBlank="1" showInputMessage="1" showErrorMessage="1" sqref="P2:Q7 P78:Q86 P59:Q62" xr:uid="{CAB0F87E-D82E-44F1-892F-E939BA0768F8}">
      <formula1>0</formula1>
      <formula2>12</formula2>
    </dataValidation>
    <dataValidation type="whole" allowBlank="1" showInputMessage="1" showErrorMessage="1" sqref="M2:N7 M35:N37 M39:N39 M78:N86 M59:N62 M27:N33" xr:uid="{800CE625-E607-4267-AB8C-760F4CB2FCC9}">
      <formula1>0</formula1>
      <formula2>36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50E6-E4EE-41D1-B2F0-FFEB84AA90AA}">
  <dimension ref="A1:AS46"/>
  <sheetViews>
    <sheetView topLeftCell="W1" workbookViewId="0">
      <selection activeCell="AQ3" sqref="AQ3"/>
    </sheetView>
  </sheetViews>
  <sheetFormatPr baseColWidth="10" defaultRowHeight="15" x14ac:dyDescent="0.25"/>
  <cols>
    <col min="12" max="12" width="13.7109375" customWidth="1"/>
  </cols>
  <sheetData>
    <row r="1" spans="1:45" x14ac:dyDescent="0.25">
      <c r="A1" s="51" t="s">
        <v>31</v>
      </c>
      <c r="B1" s="51"/>
      <c r="C1" s="51"/>
      <c r="D1" s="51"/>
      <c r="E1" s="51"/>
      <c r="F1" s="51"/>
      <c r="G1" s="51"/>
      <c r="L1" s="47" t="s">
        <v>80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J1" s="64" t="s">
        <v>298</v>
      </c>
      <c r="AK1" s="65" t="s">
        <v>299</v>
      </c>
      <c r="AL1" s="56" t="s">
        <v>300</v>
      </c>
      <c r="AM1" s="37" t="s">
        <v>300</v>
      </c>
      <c r="AN1" s="56" t="s">
        <v>301</v>
      </c>
      <c r="AO1" s="37" t="s">
        <v>301</v>
      </c>
      <c r="AP1" s="56" t="s">
        <v>302</v>
      </c>
      <c r="AQ1" s="37" t="s">
        <v>302</v>
      </c>
      <c r="AR1" s="56" t="s">
        <v>303</v>
      </c>
      <c r="AS1" s="59" t="s">
        <v>304</v>
      </c>
    </row>
    <row r="2" spans="1:45" ht="15" customHeight="1" x14ac:dyDescent="0.25">
      <c r="A2" s="52" t="s">
        <v>32</v>
      </c>
      <c r="B2" s="52" t="s">
        <v>23</v>
      </c>
      <c r="C2" s="52"/>
      <c r="D2" s="52" t="s">
        <v>33</v>
      </c>
      <c r="E2" s="52"/>
      <c r="F2" s="52" t="s">
        <v>34</v>
      </c>
      <c r="G2" s="52"/>
      <c r="L2" s="48" t="s">
        <v>81</v>
      </c>
      <c r="M2" s="48" t="s">
        <v>82</v>
      </c>
      <c r="N2" s="48"/>
      <c r="O2" s="48"/>
      <c r="P2" s="48"/>
      <c r="Q2" s="48"/>
      <c r="R2" s="48"/>
      <c r="S2" s="48"/>
      <c r="T2" s="48"/>
      <c r="U2" s="48" t="s">
        <v>83</v>
      </c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J2" s="62"/>
      <c r="AK2" s="66"/>
      <c r="AL2" s="57"/>
      <c r="AM2" s="38" t="s">
        <v>305</v>
      </c>
      <c r="AN2" s="57"/>
      <c r="AO2" s="38" t="s">
        <v>305</v>
      </c>
      <c r="AP2" s="57"/>
      <c r="AQ2" s="38" t="s">
        <v>305</v>
      </c>
      <c r="AR2" s="57"/>
      <c r="AS2" s="60"/>
    </row>
    <row r="3" spans="1:45" ht="15" customHeight="1" x14ac:dyDescent="0.25">
      <c r="A3" s="53"/>
      <c r="B3" s="14" t="s">
        <v>35</v>
      </c>
      <c r="C3" s="14" t="s">
        <v>36</v>
      </c>
      <c r="D3" s="14" t="s">
        <v>37</v>
      </c>
      <c r="E3" s="14" t="s">
        <v>36</v>
      </c>
      <c r="F3" s="14" t="s">
        <v>38</v>
      </c>
      <c r="G3" s="14" t="s">
        <v>36</v>
      </c>
      <c r="L3" s="49"/>
      <c r="M3" s="49" t="s">
        <v>84</v>
      </c>
      <c r="N3" s="49"/>
      <c r="O3" s="49"/>
      <c r="P3" s="49"/>
      <c r="Q3" s="49" t="s">
        <v>85</v>
      </c>
      <c r="R3" s="49"/>
      <c r="S3" s="49"/>
      <c r="T3" s="49"/>
      <c r="U3" s="50" t="s">
        <v>86</v>
      </c>
      <c r="V3" s="50"/>
      <c r="W3" s="50"/>
      <c r="X3" s="50"/>
      <c r="Y3" s="50" t="s">
        <v>87</v>
      </c>
      <c r="Z3" s="50"/>
      <c r="AA3" s="50"/>
      <c r="AB3" s="50"/>
      <c r="AC3" s="50" t="s">
        <v>88</v>
      </c>
      <c r="AD3" s="50"/>
      <c r="AE3" s="50"/>
      <c r="AF3" s="50"/>
      <c r="AJ3" s="63"/>
      <c r="AK3" s="67"/>
      <c r="AL3" s="58"/>
      <c r="AM3" s="39" t="s">
        <v>306</v>
      </c>
      <c r="AN3" s="58"/>
      <c r="AO3" s="39" t="s">
        <v>306</v>
      </c>
      <c r="AP3" s="58"/>
      <c r="AQ3" s="39" t="s">
        <v>306</v>
      </c>
      <c r="AR3" s="58"/>
      <c r="AS3" s="61"/>
    </row>
    <row r="4" spans="1:45" x14ac:dyDescent="0.25">
      <c r="A4" s="46" t="s">
        <v>39</v>
      </c>
      <c r="B4" s="46"/>
      <c r="C4" s="46"/>
      <c r="D4" s="46"/>
      <c r="E4" s="46"/>
      <c r="F4" s="46"/>
      <c r="G4" s="46"/>
      <c r="M4" s="45" t="s">
        <v>89</v>
      </c>
      <c r="N4" s="45"/>
      <c r="O4" s="45" t="s">
        <v>90</v>
      </c>
      <c r="P4" s="45"/>
      <c r="Q4" s="45" t="s">
        <v>89</v>
      </c>
      <c r="R4" s="45"/>
      <c r="S4" s="45" t="s">
        <v>90</v>
      </c>
      <c r="T4" s="45"/>
      <c r="U4" s="45" t="s">
        <v>89</v>
      </c>
      <c r="V4" s="45"/>
      <c r="W4" s="45" t="s">
        <v>90</v>
      </c>
      <c r="X4" s="45"/>
      <c r="Y4" s="45" t="s">
        <v>89</v>
      </c>
      <c r="Z4" s="45"/>
      <c r="AA4" s="45" t="s">
        <v>90</v>
      </c>
      <c r="AB4" s="45"/>
      <c r="AC4" s="45" t="s">
        <v>89</v>
      </c>
      <c r="AD4" s="45"/>
      <c r="AE4" s="45" t="s">
        <v>90</v>
      </c>
      <c r="AF4" s="45"/>
      <c r="AJ4" s="62" t="s">
        <v>307</v>
      </c>
      <c r="AK4" s="40" t="s">
        <v>308</v>
      </c>
      <c r="AL4" s="41" t="s">
        <v>309</v>
      </c>
      <c r="AM4" s="41" t="s">
        <v>310</v>
      </c>
      <c r="AN4" s="41"/>
      <c r="AO4" s="41"/>
      <c r="AP4" s="41"/>
      <c r="AQ4" s="41"/>
      <c r="AR4" s="41"/>
      <c r="AS4" s="41"/>
    </row>
    <row r="5" spans="1:45" x14ac:dyDescent="0.25">
      <c r="A5" s="15" t="s">
        <v>40</v>
      </c>
      <c r="B5" s="16">
        <v>19</v>
      </c>
      <c r="C5" s="17">
        <f>B5/42</f>
        <v>0.45238095238095238</v>
      </c>
      <c r="D5" s="16">
        <v>20</v>
      </c>
      <c r="E5" s="17">
        <f>D5/46</f>
        <v>0.43478260869565216</v>
      </c>
      <c r="F5" s="16">
        <f>SUM(B5+D5)</f>
        <v>39</v>
      </c>
      <c r="G5" s="18">
        <f t="shared" ref="G5:G6" si="0">F5/88</f>
        <v>0.44318181818181818</v>
      </c>
      <c r="L5" s="29"/>
      <c r="M5" s="30" t="s">
        <v>91</v>
      </c>
      <c r="N5" s="30" t="s">
        <v>92</v>
      </c>
      <c r="O5" s="30" t="s">
        <v>91</v>
      </c>
      <c r="P5" s="30" t="s">
        <v>92</v>
      </c>
      <c r="Q5" s="30" t="s">
        <v>91</v>
      </c>
      <c r="R5" s="30" t="s">
        <v>92</v>
      </c>
      <c r="S5" s="30" t="s">
        <v>91</v>
      </c>
      <c r="T5" s="30" t="s">
        <v>92</v>
      </c>
      <c r="U5" s="30" t="s">
        <v>91</v>
      </c>
      <c r="V5" s="30" t="s">
        <v>92</v>
      </c>
      <c r="W5" s="30" t="s">
        <v>91</v>
      </c>
      <c r="X5" s="30" t="s">
        <v>92</v>
      </c>
      <c r="Y5" s="30" t="s">
        <v>91</v>
      </c>
      <c r="Z5" s="30" t="s">
        <v>92</v>
      </c>
      <c r="AA5" s="30" t="s">
        <v>91</v>
      </c>
      <c r="AB5" s="30" t="s">
        <v>92</v>
      </c>
      <c r="AC5" s="30" t="s">
        <v>91</v>
      </c>
      <c r="AD5" s="30" t="s">
        <v>92</v>
      </c>
      <c r="AE5" s="30" t="s">
        <v>91</v>
      </c>
      <c r="AF5" s="30" t="s">
        <v>92</v>
      </c>
      <c r="AJ5" s="62"/>
      <c r="AK5" s="40" t="s">
        <v>45</v>
      </c>
      <c r="AL5" s="41" t="s">
        <v>311</v>
      </c>
      <c r="AM5" s="41" t="s">
        <v>312</v>
      </c>
      <c r="AN5" s="41" t="s">
        <v>313</v>
      </c>
      <c r="AO5" s="41" t="s">
        <v>314</v>
      </c>
      <c r="AP5" s="41" t="s">
        <v>315</v>
      </c>
      <c r="AQ5" s="41" t="s">
        <v>316</v>
      </c>
      <c r="AR5" s="41" t="s">
        <v>317</v>
      </c>
      <c r="AS5" s="42" t="s">
        <v>318</v>
      </c>
    </row>
    <row r="6" spans="1:45" ht="25.5" x14ac:dyDescent="0.25">
      <c r="A6" s="15" t="s">
        <v>41</v>
      </c>
      <c r="B6" s="16">
        <v>14</v>
      </c>
      <c r="C6" s="17">
        <f>B6/42</f>
        <v>0.33333333333333331</v>
      </c>
      <c r="D6" s="16">
        <v>12</v>
      </c>
      <c r="E6" s="17">
        <f>D6/46</f>
        <v>0.2608695652173913</v>
      </c>
      <c r="F6" s="16">
        <f t="shared" ref="F6" si="1">SUM(B6+D6)</f>
        <v>26</v>
      </c>
      <c r="G6" s="18">
        <f t="shared" si="0"/>
        <v>0.29545454545454547</v>
      </c>
      <c r="L6" s="31" t="s">
        <v>0</v>
      </c>
      <c r="M6" s="32" t="s">
        <v>93</v>
      </c>
      <c r="N6" s="32" t="s">
        <v>94</v>
      </c>
      <c r="O6" s="32" t="s">
        <v>95</v>
      </c>
      <c r="P6" s="33" t="s">
        <v>96</v>
      </c>
      <c r="Q6" s="33">
        <v>-0.26832</v>
      </c>
      <c r="R6" s="33" t="s">
        <v>97</v>
      </c>
      <c r="S6" s="33" t="s">
        <v>98</v>
      </c>
      <c r="T6" s="33" t="s">
        <v>99</v>
      </c>
      <c r="U6" s="33">
        <v>-0.16278999999999999</v>
      </c>
      <c r="V6" s="32" t="s">
        <v>100</v>
      </c>
      <c r="W6" s="33" t="s">
        <v>101</v>
      </c>
      <c r="X6" s="33" t="s">
        <v>102</v>
      </c>
      <c r="Y6" s="33">
        <v>-6.3539999999999999E-2</v>
      </c>
      <c r="Z6" s="32" t="s">
        <v>103</v>
      </c>
      <c r="AA6" s="33" t="s">
        <v>104</v>
      </c>
      <c r="AB6" s="33" t="s">
        <v>105</v>
      </c>
      <c r="AC6" s="33">
        <v>-2.2780000000000002E-2</v>
      </c>
      <c r="AD6" s="32" t="s">
        <v>106</v>
      </c>
      <c r="AE6" s="33" t="s">
        <v>107</v>
      </c>
      <c r="AF6" s="33" t="s">
        <v>108</v>
      </c>
      <c r="AJ6" s="62"/>
      <c r="AK6" s="40" t="s">
        <v>6</v>
      </c>
      <c r="AL6" s="41" t="s">
        <v>217</v>
      </c>
      <c r="AM6" s="41" t="s">
        <v>218</v>
      </c>
      <c r="AN6" s="41" t="s">
        <v>319</v>
      </c>
      <c r="AO6" s="41" t="s">
        <v>320</v>
      </c>
      <c r="AP6" s="41" t="s">
        <v>321</v>
      </c>
      <c r="AQ6" s="41" t="s">
        <v>322</v>
      </c>
      <c r="AR6" s="41" t="s">
        <v>323</v>
      </c>
      <c r="AS6" s="41" t="s">
        <v>324</v>
      </c>
    </row>
    <row r="7" spans="1:45" x14ac:dyDescent="0.25">
      <c r="A7" s="15" t="s">
        <v>42</v>
      </c>
      <c r="B7" s="16">
        <v>6</v>
      </c>
      <c r="C7" s="17">
        <f>B7/42</f>
        <v>0.14285714285714285</v>
      </c>
      <c r="D7" s="16">
        <v>9</v>
      </c>
      <c r="E7" s="17">
        <f>D7/46</f>
        <v>0.19565217391304349</v>
      </c>
      <c r="F7" s="16">
        <f>SUM(B7+D7)</f>
        <v>15</v>
      </c>
      <c r="G7" s="18">
        <f>F7/88</f>
        <v>0.17045454545454544</v>
      </c>
      <c r="L7" s="31" t="s">
        <v>1</v>
      </c>
      <c r="M7" s="32" t="s">
        <v>109</v>
      </c>
      <c r="N7" s="32" t="s">
        <v>110</v>
      </c>
      <c r="O7" s="32" t="s">
        <v>111</v>
      </c>
      <c r="P7" s="33" t="s">
        <v>112</v>
      </c>
      <c r="Q7" s="33">
        <v>4.4820000000000002</v>
      </c>
      <c r="R7" s="33" t="s">
        <v>113</v>
      </c>
      <c r="S7" s="33" t="s">
        <v>114</v>
      </c>
      <c r="T7" s="33" t="s">
        <v>115</v>
      </c>
      <c r="U7" s="33">
        <v>1.6232</v>
      </c>
      <c r="V7" s="32" t="s">
        <v>116</v>
      </c>
      <c r="W7" s="33" t="s">
        <v>117</v>
      </c>
      <c r="X7" s="33" t="s">
        <v>118</v>
      </c>
      <c r="Y7" s="33">
        <v>0.20810000000000001</v>
      </c>
      <c r="Z7" s="33" t="s">
        <v>119</v>
      </c>
      <c r="AA7" s="33" t="s">
        <v>120</v>
      </c>
      <c r="AB7" s="33" t="s">
        <v>121</v>
      </c>
      <c r="AC7" s="33">
        <v>0.22670000000000001</v>
      </c>
      <c r="AD7" s="33" t="s">
        <v>122</v>
      </c>
      <c r="AE7" s="33" t="s">
        <v>123</v>
      </c>
      <c r="AF7" s="33" t="s">
        <v>124</v>
      </c>
      <c r="AJ7" s="63"/>
      <c r="AK7" s="43" t="s">
        <v>282</v>
      </c>
      <c r="AL7" s="44" t="s">
        <v>136</v>
      </c>
      <c r="AM7" s="44" t="s">
        <v>325</v>
      </c>
      <c r="AN7" s="44" t="s">
        <v>326</v>
      </c>
      <c r="AO7" s="44" t="s">
        <v>327</v>
      </c>
      <c r="AP7" s="44" t="s">
        <v>321</v>
      </c>
      <c r="AQ7" s="44" t="s">
        <v>328</v>
      </c>
      <c r="AR7" s="44" t="s">
        <v>329</v>
      </c>
      <c r="AS7" s="44"/>
    </row>
    <row r="8" spans="1:45" x14ac:dyDescent="0.25">
      <c r="A8" s="15" t="s">
        <v>43</v>
      </c>
      <c r="B8" s="16">
        <v>1</v>
      </c>
      <c r="C8" s="17">
        <f>B8/42</f>
        <v>2.3809523809523808E-2</v>
      </c>
      <c r="D8" s="16">
        <v>4</v>
      </c>
      <c r="E8" s="17">
        <f>D8/46</f>
        <v>8.6956521739130432E-2</v>
      </c>
      <c r="F8" s="16">
        <f>SUM(B8+D8)</f>
        <v>5</v>
      </c>
      <c r="G8" s="18">
        <f>F8/88</f>
        <v>5.6818181818181816E-2</v>
      </c>
      <c r="L8" s="31" t="s">
        <v>125</v>
      </c>
      <c r="M8" s="32">
        <v>1.131</v>
      </c>
      <c r="N8" s="32" t="s">
        <v>126</v>
      </c>
      <c r="O8" s="32" t="s">
        <v>127</v>
      </c>
      <c r="P8" s="33" t="s">
        <v>128</v>
      </c>
      <c r="Q8" s="33">
        <v>1.3129999999999999</v>
      </c>
      <c r="R8" s="33" t="s">
        <v>129</v>
      </c>
      <c r="S8" s="33" t="s">
        <v>130</v>
      </c>
      <c r="T8" s="33" t="s">
        <v>131</v>
      </c>
      <c r="U8" s="33">
        <v>0.54320000000000002</v>
      </c>
      <c r="V8" s="33" t="s">
        <v>132</v>
      </c>
      <c r="W8" s="33" t="s">
        <v>133</v>
      </c>
      <c r="X8" s="33" t="s">
        <v>134</v>
      </c>
      <c r="Y8" s="33">
        <v>0.27743000000000001</v>
      </c>
      <c r="Z8" s="33" t="s">
        <v>135</v>
      </c>
      <c r="AA8" s="33" t="s">
        <v>136</v>
      </c>
      <c r="AB8" s="33" t="s">
        <v>137</v>
      </c>
      <c r="AC8" s="33">
        <v>0.11584999999999999</v>
      </c>
      <c r="AD8" s="33" t="s">
        <v>138</v>
      </c>
      <c r="AE8" s="33" t="s">
        <v>139</v>
      </c>
      <c r="AF8" s="33" t="s">
        <v>140</v>
      </c>
      <c r="AJ8" s="54" t="s">
        <v>85</v>
      </c>
      <c r="AK8" s="40" t="s">
        <v>308</v>
      </c>
      <c r="AL8" s="41" t="s">
        <v>330</v>
      </c>
      <c r="AM8" s="41" t="s">
        <v>331</v>
      </c>
      <c r="AN8" s="41"/>
      <c r="AO8" s="41"/>
      <c r="AP8" s="41"/>
      <c r="AQ8" s="41"/>
      <c r="AR8" s="41"/>
      <c r="AS8" s="41"/>
    </row>
    <row r="9" spans="1:45" ht="30" x14ac:dyDescent="0.25">
      <c r="A9" s="15" t="s">
        <v>44</v>
      </c>
      <c r="B9" s="16">
        <v>2</v>
      </c>
      <c r="C9" s="17">
        <f>B9/42</f>
        <v>4.7619047619047616E-2</v>
      </c>
      <c r="D9" s="16">
        <v>1</v>
      </c>
      <c r="E9" s="17">
        <f>D9/46</f>
        <v>2.1739130434782608E-2</v>
      </c>
      <c r="F9" s="16">
        <f>SUM(B9+D9)</f>
        <v>3</v>
      </c>
      <c r="G9" s="18">
        <f>F9/88</f>
        <v>3.4090909090909088E-2</v>
      </c>
      <c r="L9" s="31" t="s">
        <v>141</v>
      </c>
      <c r="M9" s="32">
        <v>-3.7</v>
      </c>
      <c r="N9" s="32" t="s">
        <v>142</v>
      </c>
      <c r="O9" s="32" t="s">
        <v>143</v>
      </c>
      <c r="P9" s="33" t="s">
        <v>144</v>
      </c>
      <c r="Q9" s="33">
        <v>2.64</v>
      </c>
      <c r="R9" s="33" t="s">
        <v>145</v>
      </c>
      <c r="S9" s="33" t="s">
        <v>146</v>
      </c>
      <c r="T9" s="33" t="s">
        <v>147</v>
      </c>
      <c r="U9" s="33">
        <v>-2.65</v>
      </c>
      <c r="V9" s="33" t="s">
        <v>148</v>
      </c>
      <c r="W9" s="33" t="s">
        <v>149</v>
      </c>
      <c r="X9" s="33" t="s">
        <v>150</v>
      </c>
      <c r="Y9" s="33">
        <v>-0.8</v>
      </c>
      <c r="Z9" s="33" t="s">
        <v>151</v>
      </c>
      <c r="AA9" s="33" t="s">
        <v>152</v>
      </c>
      <c r="AB9" s="33" t="s">
        <v>153</v>
      </c>
      <c r="AC9" s="33">
        <v>0.1</v>
      </c>
      <c r="AD9" s="33" t="s">
        <v>154</v>
      </c>
      <c r="AE9" s="33" t="s">
        <v>155</v>
      </c>
      <c r="AF9" s="33" t="s">
        <v>156</v>
      </c>
      <c r="AJ9" s="54"/>
      <c r="AK9" s="40" t="s">
        <v>1</v>
      </c>
      <c r="AL9" s="41" t="s">
        <v>332</v>
      </c>
      <c r="AM9" s="41" t="s">
        <v>333</v>
      </c>
      <c r="AN9" s="41" t="s">
        <v>334</v>
      </c>
      <c r="AO9" s="41" t="s">
        <v>335</v>
      </c>
      <c r="AP9" s="41" t="s">
        <v>321</v>
      </c>
      <c r="AQ9" s="41" t="s">
        <v>336</v>
      </c>
      <c r="AR9" s="41" t="s">
        <v>337</v>
      </c>
      <c r="AS9" s="42" t="s">
        <v>338</v>
      </c>
    </row>
    <row r="10" spans="1:45" ht="30" x14ac:dyDescent="0.25">
      <c r="A10" s="19" t="s">
        <v>45</v>
      </c>
      <c r="B10" s="19"/>
      <c r="C10" s="19"/>
      <c r="D10" s="19"/>
      <c r="E10" s="19"/>
      <c r="F10" s="19"/>
      <c r="G10" s="19"/>
      <c r="L10" s="31" t="s">
        <v>157</v>
      </c>
      <c r="M10" s="32">
        <v>-0.7</v>
      </c>
      <c r="N10" s="32" t="s">
        <v>158</v>
      </c>
      <c r="O10" s="32" t="s">
        <v>159</v>
      </c>
      <c r="P10" s="33" t="s">
        <v>160</v>
      </c>
      <c r="Q10" s="33">
        <v>2.2869999999999999</v>
      </c>
      <c r="R10" s="33" t="s">
        <v>161</v>
      </c>
      <c r="S10" s="33" t="s">
        <v>162</v>
      </c>
      <c r="T10" s="33" t="s">
        <v>163</v>
      </c>
      <c r="U10" s="33">
        <v>-3.05</v>
      </c>
      <c r="V10" s="33" t="s">
        <v>164</v>
      </c>
      <c r="W10" s="33" t="s">
        <v>165</v>
      </c>
      <c r="X10" s="33" t="s">
        <v>166</v>
      </c>
      <c r="Y10" s="33">
        <v>-1.075</v>
      </c>
      <c r="Z10" s="33" t="s">
        <v>167</v>
      </c>
      <c r="AA10" s="33" t="s">
        <v>168</v>
      </c>
      <c r="AB10" s="33" t="s">
        <v>169</v>
      </c>
      <c r="AC10" s="33">
        <v>-0.42499999999999999</v>
      </c>
      <c r="AD10" s="33" t="s">
        <v>170</v>
      </c>
      <c r="AE10" s="33" t="s">
        <v>171</v>
      </c>
      <c r="AF10" s="33" t="s">
        <v>172</v>
      </c>
      <c r="AJ10" s="54"/>
      <c r="AK10" s="40" t="s">
        <v>45</v>
      </c>
      <c r="AL10" s="41" t="s">
        <v>339</v>
      </c>
      <c r="AM10" s="41" t="s">
        <v>340</v>
      </c>
      <c r="AN10" s="41" t="s">
        <v>341</v>
      </c>
      <c r="AO10" s="41" t="s">
        <v>342</v>
      </c>
      <c r="AP10" s="41" t="s">
        <v>343</v>
      </c>
      <c r="AQ10" s="41" t="s">
        <v>344</v>
      </c>
      <c r="AR10" s="41" t="s">
        <v>345</v>
      </c>
      <c r="AS10" s="41" t="s">
        <v>346</v>
      </c>
    </row>
    <row r="11" spans="1:45" ht="30" x14ac:dyDescent="0.25">
      <c r="A11" s="15" t="s">
        <v>46</v>
      </c>
      <c r="B11" s="16">
        <v>5</v>
      </c>
      <c r="C11" s="17">
        <f>B11/42</f>
        <v>0.11904761904761904</v>
      </c>
      <c r="D11" s="16">
        <v>11</v>
      </c>
      <c r="E11" s="17">
        <f>D11/46</f>
        <v>0.2391304347826087</v>
      </c>
      <c r="F11" s="16">
        <f>SUM(B11+D11)</f>
        <v>16</v>
      </c>
      <c r="G11" s="18">
        <f>F11/88</f>
        <v>0.18181818181818182</v>
      </c>
      <c r="L11" s="31" t="s">
        <v>173</v>
      </c>
      <c r="M11" s="32">
        <v>4.05</v>
      </c>
      <c r="N11" s="32" t="s">
        <v>174</v>
      </c>
      <c r="O11" s="32" t="s">
        <v>175</v>
      </c>
      <c r="P11" s="33" t="s">
        <v>176</v>
      </c>
      <c r="Q11" s="33">
        <v>3.4929999999999999</v>
      </c>
      <c r="R11" s="33" t="s">
        <v>177</v>
      </c>
      <c r="S11" s="33" t="s">
        <v>178</v>
      </c>
      <c r="T11" s="33" t="s">
        <v>179</v>
      </c>
      <c r="U11" s="33">
        <v>-2.125</v>
      </c>
      <c r="V11" s="33" t="s">
        <v>180</v>
      </c>
      <c r="W11" s="33" t="s">
        <v>181</v>
      </c>
      <c r="X11" s="33" t="s">
        <v>182</v>
      </c>
      <c r="Y11" s="33">
        <v>-1.05</v>
      </c>
      <c r="Z11" s="33" t="s">
        <v>183</v>
      </c>
      <c r="AA11" s="33" t="s">
        <v>184</v>
      </c>
      <c r="AB11" s="33" t="s">
        <v>185</v>
      </c>
      <c r="AC11" s="33">
        <v>0.1</v>
      </c>
      <c r="AD11" s="33" t="s">
        <v>186</v>
      </c>
      <c r="AE11" s="33" t="s">
        <v>187</v>
      </c>
      <c r="AF11" s="33" t="s">
        <v>188</v>
      </c>
      <c r="AJ11" s="55"/>
      <c r="AK11" s="43" t="s">
        <v>6</v>
      </c>
      <c r="AL11" s="44" t="s">
        <v>217</v>
      </c>
      <c r="AM11" s="44" t="s">
        <v>218</v>
      </c>
      <c r="AN11" s="44" t="s">
        <v>347</v>
      </c>
      <c r="AO11" s="44" t="s">
        <v>348</v>
      </c>
      <c r="AP11" s="44" t="s">
        <v>349</v>
      </c>
      <c r="AQ11" s="44" t="s">
        <v>350</v>
      </c>
      <c r="AR11" s="44" t="s">
        <v>351</v>
      </c>
      <c r="AS11" s="44"/>
    </row>
    <row r="12" spans="1:45" x14ac:dyDescent="0.25">
      <c r="A12" s="15" t="s">
        <v>47</v>
      </c>
      <c r="B12" s="16">
        <v>12</v>
      </c>
      <c r="C12" s="17">
        <f>B12/42</f>
        <v>0.2857142857142857</v>
      </c>
      <c r="D12" s="16">
        <v>16</v>
      </c>
      <c r="E12" s="17">
        <f>D12/46</f>
        <v>0.34782608695652173</v>
      </c>
      <c r="F12" s="16">
        <f>SUM(B12+D12)</f>
        <v>28</v>
      </c>
      <c r="G12" s="18">
        <f>F12/88</f>
        <v>0.31818181818181818</v>
      </c>
      <c r="L12" s="31" t="s">
        <v>68</v>
      </c>
      <c r="M12" s="32">
        <v>-3.85</v>
      </c>
      <c r="N12" s="32" t="s">
        <v>189</v>
      </c>
      <c r="O12" s="32" t="s">
        <v>190</v>
      </c>
      <c r="P12" s="33" t="s">
        <v>191</v>
      </c>
      <c r="Q12" s="33">
        <v>1.3332999999999999</v>
      </c>
      <c r="R12" s="33" t="s">
        <v>192</v>
      </c>
      <c r="S12" s="33" t="s">
        <v>193</v>
      </c>
      <c r="T12" s="33" t="s">
        <v>194</v>
      </c>
      <c r="U12" s="33">
        <v>1.0893999999999999</v>
      </c>
      <c r="V12" s="33" t="s">
        <v>195</v>
      </c>
      <c r="W12" s="33" t="s">
        <v>196</v>
      </c>
      <c r="X12" s="33" t="s">
        <v>197</v>
      </c>
      <c r="Y12" s="33">
        <v>-1.957E-16</v>
      </c>
      <c r="Z12" s="33" t="s">
        <v>198</v>
      </c>
      <c r="AA12" s="33" t="s">
        <v>199</v>
      </c>
      <c r="AB12" s="33" t="s">
        <v>200</v>
      </c>
      <c r="AC12" s="33">
        <v>-0.435</v>
      </c>
      <c r="AD12" s="33" t="s">
        <v>201</v>
      </c>
      <c r="AE12" s="33" t="s">
        <v>202</v>
      </c>
      <c r="AF12" s="33" t="s">
        <v>203</v>
      </c>
      <c r="AJ12" s="54" t="s">
        <v>86</v>
      </c>
      <c r="AK12" s="40" t="s">
        <v>308</v>
      </c>
      <c r="AL12" s="41" t="s">
        <v>352</v>
      </c>
      <c r="AM12" s="41" t="s">
        <v>353</v>
      </c>
      <c r="AN12" s="41"/>
      <c r="AO12" s="41"/>
      <c r="AP12" s="41"/>
      <c r="AQ12" s="41"/>
      <c r="AR12" s="41"/>
      <c r="AS12" s="41"/>
    </row>
    <row r="13" spans="1:45" x14ac:dyDescent="0.25">
      <c r="A13" s="15" t="s">
        <v>48</v>
      </c>
      <c r="B13" s="16">
        <v>22</v>
      </c>
      <c r="C13" s="17">
        <f>B13/42</f>
        <v>0.52380952380952384</v>
      </c>
      <c r="D13" s="16">
        <v>18</v>
      </c>
      <c r="E13" s="17">
        <f>D13/46</f>
        <v>0.39130434782608697</v>
      </c>
      <c r="F13" s="16">
        <f>SUM(B13+D13)</f>
        <v>40</v>
      </c>
      <c r="G13" s="18">
        <f>F13/88</f>
        <v>0.45454545454545453</v>
      </c>
      <c r="L13" s="31" t="s">
        <v>65</v>
      </c>
      <c r="M13" s="32">
        <v>1.39</v>
      </c>
      <c r="N13" s="32" t="s">
        <v>204</v>
      </c>
      <c r="O13" s="32" t="s">
        <v>205</v>
      </c>
      <c r="P13" s="33" t="s">
        <v>206</v>
      </c>
      <c r="Q13" s="33">
        <v>4.6666999999999996</v>
      </c>
      <c r="R13" s="33" t="s">
        <v>207</v>
      </c>
      <c r="S13" s="33" t="s">
        <v>208</v>
      </c>
      <c r="T13" s="33" t="s">
        <v>209</v>
      </c>
      <c r="U13" s="33">
        <v>1.0893999999999999</v>
      </c>
      <c r="V13" s="33" t="s">
        <v>195</v>
      </c>
      <c r="W13" s="33" t="s">
        <v>210</v>
      </c>
      <c r="X13" s="33" t="s">
        <v>211</v>
      </c>
      <c r="Y13" s="33">
        <v>1</v>
      </c>
      <c r="Z13" s="33" t="s">
        <v>212</v>
      </c>
      <c r="AA13" s="33" t="s">
        <v>213</v>
      </c>
      <c r="AB13" s="33" t="s">
        <v>214</v>
      </c>
      <c r="AC13" s="33">
        <v>-0.435</v>
      </c>
      <c r="AD13" s="33" t="s">
        <v>201</v>
      </c>
      <c r="AE13" s="33" t="s">
        <v>215</v>
      </c>
      <c r="AF13" s="33" t="s">
        <v>216</v>
      </c>
      <c r="AJ13" s="54"/>
      <c r="AK13" s="40" t="s">
        <v>0</v>
      </c>
      <c r="AL13" s="41" t="s">
        <v>354</v>
      </c>
      <c r="AM13" s="41" t="s">
        <v>355</v>
      </c>
      <c r="AN13" s="41" t="s">
        <v>347</v>
      </c>
      <c r="AO13" s="41" t="s">
        <v>356</v>
      </c>
      <c r="AP13" s="41" t="s">
        <v>321</v>
      </c>
      <c r="AQ13" s="41" t="s">
        <v>322</v>
      </c>
      <c r="AR13" s="41" t="s">
        <v>357</v>
      </c>
      <c r="AS13" s="42" t="s">
        <v>358</v>
      </c>
    </row>
    <row r="14" spans="1:45" ht="25.5" x14ac:dyDescent="0.25">
      <c r="A14" s="20" t="s">
        <v>49</v>
      </c>
      <c r="B14" s="16">
        <v>3</v>
      </c>
      <c r="C14" s="17">
        <f>B14/42</f>
        <v>7.1428571428571425E-2</v>
      </c>
      <c r="D14" s="16">
        <v>1</v>
      </c>
      <c r="E14" s="17">
        <f>D14/46</f>
        <v>2.1739130434782608E-2</v>
      </c>
      <c r="F14" s="16">
        <f>SUM(B14+D14)</f>
        <v>4</v>
      </c>
      <c r="G14" s="18">
        <f>F14/88</f>
        <v>4.5454545454545456E-2</v>
      </c>
      <c r="L14" s="31" t="s">
        <v>6</v>
      </c>
      <c r="M14" s="32" t="s">
        <v>217</v>
      </c>
      <c r="N14" s="33" t="s">
        <v>218</v>
      </c>
      <c r="O14" s="32" t="s">
        <v>217</v>
      </c>
      <c r="P14" s="33" t="s">
        <v>218</v>
      </c>
      <c r="Q14" s="33">
        <v>-0.83120000000000005</v>
      </c>
      <c r="R14" s="33" t="s">
        <v>219</v>
      </c>
      <c r="S14" s="33" t="s">
        <v>217</v>
      </c>
      <c r="T14" s="33" t="s">
        <v>218</v>
      </c>
      <c r="U14" s="33">
        <v>1.1499999999999999</v>
      </c>
      <c r="V14" s="33" t="s">
        <v>220</v>
      </c>
      <c r="W14" s="33" t="s">
        <v>107</v>
      </c>
      <c r="X14" s="33" t="s">
        <v>221</v>
      </c>
      <c r="Y14" s="33">
        <v>0.63749999999999996</v>
      </c>
      <c r="Z14" s="33" t="s">
        <v>222</v>
      </c>
      <c r="AA14" s="33" t="s">
        <v>223</v>
      </c>
      <c r="AB14" s="33" t="s">
        <v>221</v>
      </c>
      <c r="AC14" s="33">
        <v>0.36249999999999999</v>
      </c>
      <c r="AD14" s="33" t="s">
        <v>224</v>
      </c>
      <c r="AE14" s="33" t="s">
        <v>107</v>
      </c>
      <c r="AF14" s="33" t="s">
        <v>221</v>
      </c>
      <c r="AJ14" s="55"/>
      <c r="AK14" s="43" t="s">
        <v>45</v>
      </c>
      <c r="AL14" s="44" t="s">
        <v>359</v>
      </c>
      <c r="AM14" s="44" t="s">
        <v>360</v>
      </c>
      <c r="AN14" s="44" t="s">
        <v>361</v>
      </c>
      <c r="AO14" s="44" t="s">
        <v>362</v>
      </c>
      <c r="AP14" s="44" t="s">
        <v>363</v>
      </c>
      <c r="AQ14" s="44" t="s">
        <v>364</v>
      </c>
      <c r="AR14" s="44" t="s">
        <v>365</v>
      </c>
      <c r="AS14" s="44" t="s">
        <v>366</v>
      </c>
    </row>
    <row r="15" spans="1:45" ht="30" x14ac:dyDescent="0.25">
      <c r="A15" s="21" t="s">
        <v>50</v>
      </c>
      <c r="B15" s="21"/>
      <c r="C15" s="21"/>
      <c r="D15" s="21"/>
      <c r="E15" s="21"/>
      <c r="F15" s="21"/>
      <c r="G15" s="21"/>
      <c r="L15" s="31" t="s">
        <v>225</v>
      </c>
      <c r="M15" s="32">
        <v>-1.69</v>
      </c>
      <c r="N15" s="32" t="s">
        <v>226</v>
      </c>
      <c r="O15" s="32" t="s">
        <v>227</v>
      </c>
      <c r="P15" s="33" t="s">
        <v>228</v>
      </c>
      <c r="Q15" s="33">
        <v>-2.5499999999999998</v>
      </c>
      <c r="R15" s="33" t="s">
        <v>229</v>
      </c>
      <c r="S15" s="33" t="s">
        <v>230</v>
      </c>
      <c r="T15" s="33" t="s">
        <v>231</v>
      </c>
      <c r="U15" s="33">
        <v>-1.6</v>
      </c>
      <c r="V15" s="33" t="s">
        <v>232</v>
      </c>
      <c r="W15" s="33" t="s">
        <v>233</v>
      </c>
      <c r="X15" s="33" t="s">
        <v>234</v>
      </c>
      <c r="Y15" s="33">
        <v>0.95</v>
      </c>
      <c r="Z15" s="33" t="s">
        <v>235</v>
      </c>
      <c r="AA15" s="33" t="s">
        <v>236</v>
      </c>
      <c r="AB15" s="33" t="s">
        <v>237</v>
      </c>
      <c r="AC15" s="33">
        <v>0.55000000000000004</v>
      </c>
      <c r="AD15" s="33" t="s">
        <v>238</v>
      </c>
      <c r="AE15" s="33" t="s">
        <v>239</v>
      </c>
      <c r="AF15" s="33" t="s">
        <v>240</v>
      </c>
      <c r="AJ15" s="54" t="s">
        <v>367</v>
      </c>
      <c r="AK15" s="40" t="s">
        <v>308</v>
      </c>
      <c r="AL15" s="41" t="s">
        <v>368</v>
      </c>
      <c r="AM15" s="41" t="s">
        <v>369</v>
      </c>
      <c r="AN15" s="41"/>
      <c r="AO15" s="41"/>
      <c r="AP15" s="41"/>
      <c r="AQ15" s="41"/>
      <c r="AR15" s="41"/>
      <c r="AS15" s="42" t="s">
        <v>370</v>
      </c>
    </row>
    <row r="16" spans="1:45" ht="25.5" x14ac:dyDescent="0.25">
      <c r="A16" s="20" t="s">
        <v>51</v>
      </c>
      <c r="B16" s="16">
        <v>26</v>
      </c>
      <c r="C16" s="17">
        <f t="shared" ref="C16:C21" si="2">B16/42</f>
        <v>0.61904761904761907</v>
      </c>
      <c r="D16" s="16">
        <v>36</v>
      </c>
      <c r="E16" s="17">
        <f t="shared" ref="E16:E21" si="3">D16/46</f>
        <v>0.78260869565217395</v>
      </c>
      <c r="F16" s="16">
        <f t="shared" ref="F16:F21" si="4">SUM(B16+D16)</f>
        <v>62</v>
      </c>
      <c r="G16" s="18">
        <f>F16/88</f>
        <v>0.70454545454545459</v>
      </c>
      <c r="L16" s="31" t="s">
        <v>8</v>
      </c>
      <c r="M16" s="32">
        <v>-0.06</v>
      </c>
      <c r="N16" s="32" t="s">
        <v>241</v>
      </c>
      <c r="O16" s="32" t="s">
        <v>242</v>
      </c>
      <c r="P16" s="33" t="s">
        <v>243</v>
      </c>
      <c r="Q16" s="33">
        <v>-8.0500000000000007</v>
      </c>
      <c r="R16" s="33" t="s">
        <v>244</v>
      </c>
      <c r="S16" s="33" t="s">
        <v>245</v>
      </c>
      <c r="T16" s="33" t="s">
        <v>246</v>
      </c>
      <c r="U16" s="33">
        <v>-3.6</v>
      </c>
      <c r="V16" s="33" t="s">
        <v>247</v>
      </c>
      <c r="W16" s="33" t="s">
        <v>107</v>
      </c>
      <c r="X16" s="33" t="s">
        <v>248</v>
      </c>
      <c r="Y16" s="33">
        <v>-0.05</v>
      </c>
      <c r="Z16" s="33" t="s">
        <v>249</v>
      </c>
      <c r="AA16" s="33" t="s">
        <v>250</v>
      </c>
      <c r="AB16" s="33" t="s">
        <v>251</v>
      </c>
      <c r="AC16" s="33">
        <v>0.55000000000000004</v>
      </c>
      <c r="AD16" s="33" t="s">
        <v>238</v>
      </c>
      <c r="AE16" s="33" t="s">
        <v>252</v>
      </c>
      <c r="AF16" s="33" t="s">
        <v>253</v>
      </c>
      <c r="AJ16" s="55"/>
      <c r="AK16" s="43" t="s">
        <v>45</v>
      </c>
      <c r="AL16" s="44" t="s">
        <v>371</v>
      </c>
      <c r="AM16" s="44" t="s">
        <v>372</v>
      </c>
      <c r="AN16" s="44" t="s">
        <v>373</v>
      </c>
      <c r="AO16" s="44" t="s">
        <v>374</v>
      </c>
      <c r="AP16" s="44" t="s">
        <v>375</v>
      </c>
      <c r="AQ16" s="44" t="s">
        <v>376</v>
      </c>
      <c r="AR16" s="44" t="s">
        <v>365</v>
      </c>
      <c r="AS16" s="44" t="s">
        <v>377</v>
      </c>
    </row>
    <row r="17" spans="1:45" ht="30" x14ac:dyDescent="0.25">
      <c r="A17" s="20" t="s">
        <v>52</v>
      </c>
      <c r="B17" s="16">
        <v>11</v>
      </c>
      <c r="C17" s="17">
        <f t="shared" si="2"/>
        <v>0.26190476190476192</v>
      </c>
      <c r="D17" s="16">
        <v>8</v>
      </c>
      <c r="E17" s="17">
        <f t="shared" si="3"/>
        <v>0.17391304347826086</v>
      </c>
      <c r="F17" s="16">
        <f t="shared" si="4"/>
        <v>19</v>
      </c>
      <c r="G17" s="18">
        <f t="shared" ref="G17:G26" si="5">F17/88</f>
        <v>0.21590909090909091</v>
      </c>
      <c r="L17" s="31" t="s">
        <v>254</v>
      </c>
      <c r="M17" s="34">
        <v>2.8990000000000001E-3</v>
      </c>
      <c r="N17" s="34" t="s">
        <v>255</v>
      </c>
      <c r="O17" s="32" t="s">
        <v>256</v>
      </c>
      <c r="P17" s="33" t="s">
        <v>257</v>
      </c>
      <c r="Q17" s="35">
        <v>4.2710000000000003E-6</v>
      </c>
      <c r="R17" s="33" t="s">
        <v>258</v>
      </c>
      <c r="S17" s="33" t="s">
        <v>259</v>
      </c>
      <c r="T17" s="33" t="s">
        <v>260</v>
      </c>
      <c r="U17" s="35">
        <v>1.398E-6</v>
      </c>
      <c r="V17" s="33" t="s">
        <v>261</v>
      </c>
      <c r="W17" s="35" t="s">
        <v>262</v>
      </c>
      <c r="X17" s="33" t="s">
        <v>263</v>
      </c>
      <c r="Y17" s="35">
        <v>1.3039999999999999E-6</v>
      </c>
      <c r="Z17" s="33" t="s">
        <v>221</v>
      </c>
      <c r="AA17" s="35" t="s">
        <v>264</v>
      </c>
      <c r="AB17" s="33" t="s">
        <v>265</v>
      </c>
      <c r="AC17" s="35">
        <v>6.2180000000000002E-7</v>
      </c>
      <c r="AD17" s="33" t="s">
        <v>221</v>
      </c>
      <c r="AE17" s="35" t="s">
        <v>266</v>
      </c>
      <c r="AF17" s="33" t="s">
        <v>267</v>
      </c>
      <c r="AJ17" s="54" t="s">
        <v>88</v>
      </c>
      <c r="AK17" s="40" t="s">
        <v>308</v>
      </c>
      <c r="AL17" s="41" t="s">
        <v>378</v>
      </c>
      <c r="AM17" s="41" t="s">
        <v>379</v>
      </c>
      <c r="AN17" s="41"/>
      <c r="AO17" s="41"/>
      <c r="AP17" s="41"/>
      <c r="AQ17" s="41"/>
      <c r="AR17" s="41"/>
      <c r="AS17" s="42" t="s">
        <v>380</v>
      </c>
    </row>
    <row r="18" spans="1:45" ht="38.25" x14ac:dyDescent="0.25">
      <c r="A18" s="20" t="s">
        <v>53</v>
      </c>
      <c r="B18" s="16">
        <v>3</v>
      </c>
      <c r="C18" s="17">
        <f t="shared" si="2"/>
        <v>7.1428571428571425E-2</v>
      </c>
      <c r="D18" s="16">
        <v>2</v>
      </c>
      <c r="E18" s="17">
        <f t="shared" si="3"/>
        <v>4.3478260869565216E-2</v>
      </c>
      <c r="F18" s="16">
        <f t="shared" si="4"/>
        <v>5</v>
      </c>
      <c r="G18" s="18">
        <f t="shared" si="5"/>
        <v>5.6818181818181816E-2</v>
      </c>
      <c r="L18" s="31" t="s">
        <v>268</v>
      </c>
      <c r="M18" s="32">
        <v>-1.9608000000000001</v>
      </c>
      <c r="N18" s="34" t="s">
        <v>269</v>
      </c>
      <c r="O18" s="32" t="s">
        <v>270</v>
      </c>
      <c r="P18" s="33" t="s">
        <v>271</v>
      </c>
      <c r="Q18" s="33">
        <v>0.78269999999999995</v>
      </c>
      <c r="R18" s="33" t="s">
        <v>272</v>
      </c>
      <c r="S18" s="33" t="s">
        <v>273</v>
      </c>
      <c r="T18" s="33" t="s">
        <v>274</v>
      </c>
      <c r="U18" s="33">
        <v>0.40200000000000002</v>
      </c>
      <c r="V18" s="33" t="s">
        <v>275</v>
      </c>
      <c r="W18" s="33" t="s">
        <v>276</v>
      </c>
      <c r="X18" s="33" t="s">
        <v>277</v>
      </c>
      <c r="Y18" s="33">
        <v>0.24840000000000001</v>
      </c>
      <c r="Z18" s="33" t="s">
        <v>278</v>
      </c>
      <c r="AA18" s="33" t="s">
        <v>273</v>
      </c>
      <c r="AB18" s="33" t="s">
        <v>279</v>
      </c>
      <c r="AC18" s="33">
        <v>0.27939999999999998</v>
      </c>
      <c r="AD18" s="33" t="s">
        <v>280</v>
      </c>
      <c r="AE18" s="33" t="s">
        <v>236</v>
      </c>
      <c r="AF18" s="33" t="s">
        <v>281</v>
      </c>
      <c r="AJ18" s="55"/>
      <c r="AK18" s="43" t="s">
        <v>71</v>
      </c>
      <c r="AL18" s="44" t="s">
        <v>381</v>
      </c>
      <c r="AM18" s="44" t="s">
        <v>382</v>
      </c>
      <c r="AN18" s="44" t="s">
        <v>383</v>
      </c>
      <c r="AO18" s="44" t="s">
        <v>384</v>
      </c>
      <c r="AP18" s="44" t="s">
        <v>363</v>
      </c>
      <c r="AQ18" s="44" t="s">
        <v>385</v>
      </c>
      <c r="AR18" s="44" t="s">
        <v>386</v>
      </c>
      <c r="AS18" s="44" t="s">
        <v>387</v>
      </c>
    </row>
    <row r="19" spans="1:45" x14ac:dyDescent="0.25">
      <c r="A19" s="20" t="s">
        <v>54</v>
      </c>
      <c r="B19" s="16">
        <v>0</v>
      </c>
      <c r="C19" s="17">
        <f t="shared" si="2"/>
        <v>0</v>
      </c>
      <c r="D19" s="16">
        <v>0</v>
      </c>
      <c r="E19" s="17">
        <f t="shared" si="3"/>
        <v>0</v>
      </c>
      <c r="F19" s="16">
        <f t="shared" si="4"/>
        <v>0</v>
      </c>
      <c r="G19" s="18">
        <f t="shared" si="5"/>
        <v>0</v>
      </c>
      <c r="L19" s="36" t="s">
        <v>282</v>
      </c>
      <c r="M19" s="32">
        <v>0.70589999999999997</v>
      </c>
      <c r="N19" s="32" t="s">
        <v>283</v>
      </c>
      <c r="O19" s="32" t="s">
        <v>284</v>
      </c>
      <c r="P19" s="33" t="s">
        <v>285</v>
      </c>
      <c r="Q19" s="33">
        <v>-5.1618000000000004</v>
      </c>
      <c r="R19" s="33" t="s">
        <v>286</v>
      </c>
      <c r="S19" s="33" t="s">
        <v>287</v>
      </c>
      <c r="T19" s="33" t="s">
        <v>288</v>
      </c>
      <c r="U19" s="33">
        <v>-1.2646999999999999</v>
      </c>
      <c r="V19" s="33" t="s">
        <v>289</v>
      </c>
      <c r="W19" s="33" t="s">
        <v>250</v>
      </c>
      <c r="X19" s="33" t="s">
        <v>290</v>
      </c>
      <c r="Y19" s="33">
        <v>-2.0293999999999999</v>
      </c>
      <c r="Z19" s="33" t="s">
        <v>291</v>
      </c>
      <c r="AA19" s="33" t="s">
        <v>292</v>
      </c>
      <c r="AB19" s="33" t="s">
        <v>293</v>
      </c>
      <c r="AC19" s="33">
        <v>-1.7205999999999999</v>
      </c>
      <c r="AD19" s="33" t="s">
        <v>294</v>
      </c>
      <c r="AE19" s="33" t="s">
        <v>295</v>
      </c>
      <c r="AF19" s="33" t="s">
        <v>296</v>
      </c>
    </row>
    <row r="20" spans="1:45" x14ac:dyDescent="0.25">
      <c r="A20" s="20" t="s">
        <v>55</v>
      </c>
      <c r="B20" s="16">
        <v>1</v>
      </c>
      <c r="C20" s="17">
        <f t="shared" si="2"/>
        <v>2.3809523809523808E-2</v>
      </c>
      <c r="D20" s="16">
        <v>0</v>
      </c>
      <c r="E20" s="17">
        <f t="shared" si="3"/>
        <v>0</v>
      </c>
      <c r="F20" s="16">
        <f t="shared" si="4"/>
        <v>1</v>
      </c>
      <c r="G20" s="18">
        <f t="shared" si="5"/>
        <v>1.1363636363636364E-2</v>
      </c>
    </row>
    <row r="21" spans="1:45" x14ac:dyDescent="0.25">
      <c r="A21" s="20" t="s">
        <v>56</v>
      </c>
      <c r="B21" s="16">
        <v>1</v>
      </c>
      <c r="C21" s="17">
        <f t="shared" si="2"/>
        <v>2.3809523809523808E-2</v>
      </c>
      <c r="D21" s="16">
        <v>0</v>
      </c>
      <c r="E21" s="17">
        <f t="shared" si="3"/>
        <v>0</v>
      </c>
      <c r="F21" s="16">
        <f t="shared" si="4"/>
        <v>1</v>
      </c>
      <c r="G21" s="18">
        <f t="shared" si="5"/>
        <v>1.1363636363636364E-2</v>
      </c>
    </row>
    <row r="22" spans="1:45" ht="28.5" x14ac:dyDescent="0.25">
      <c r="A22" s="21" t="s">
        <v>57</v>
      </c>
      <c r="B22" s="21"/>
      <c r="C22" s="21"/>
      <c r="D22" s="21"/>
      <c r="E22" s="21"/>
      <c r="F22" s="21"/>
      <c r="G22" s="21"/>
      <c r="W22" t="s">
        <v>297</v>
      </c>
    </row>
    <row r="23" spans="1:45" x14ac:dyDescent="0.25">
      <c r="A23" s="22" t="s">
        <v>58</v>
      </c>
      <c r="B23" s="16">
        <v>19</v>
      </c>
      <c r="C23" s="17">
        <f>B23/42</f>
        <v>0.45238095238095238</v>
      </c>
      <c r="D23" s="16">
        <v>1</v>
      </c>
      <c r="E23" s="17">
        <f>D23/46</f>
        <v>2.1739130434782608E-2</v>
      </c>
      <c r="F23" s="16">
        <f>SUM(B23+D23)</f>
        <v>20</v>
      </c>
      <c r="G23" s="18">
        <f t="shared" si="5"/>
        <v>0.22727272727272727</v>
      </c>
    </row>
    <row r="24" spans="1:45" x14ac:dyDescent="0.25">
      <c r="A24" s="22" t="s">
        <v>59</v>
      </c>
      <c r="B24" s="16">
        <v>0</v>
      </c>
      <c r="C24" s="17">
        <f>B24/42</f>
        <v>0</v>
      </c>
      <c r="D24" s="16">
        <v>20</v>
      </c>
      <c r="E24" s="17">
        <f>D24/46</f>
        <v>0.43478260869565216</v>
      </c>
      <c r="F24" s="16">
        <f>SUM(B24+D24)</f>
        <v>20</v>
      </c>
      <c r="G24" s="18">
        <f t="shared" si="5"/>
        <v>0.22727272727272727</v>
      </c>
    </row>
    <row r="25" spans="1:45" x14ac:dyDescent="0.25">
      <c r="A25" s="22" t="s">
        <v>60</v>
      </c>
      <c r="B25" s="16">
        <v>16</v>
      </c>
      <c r="C25" s="17">
        <f>B25/42</f>
        <v>0.38095238095238093</v>
      </c>
      <c r="D25" s="16">
        <v>24</v>
      </c>
      <c r="E25" s="17">
        <f>D25/46</f>
        <v>0.52173913043478259</v>
      </c>
      <c r="F25" s="16">
        <f>SUM(B25+D25)</f>
        <v>40</v>
      </c>
      <c r="G25" s="18">
        <f t="shared" si="5"/>
        <v>0.45454545454545453</v>
      </c>
    </row>
    <row r="26" spans="1:45" x14ac:dyDescent="0.25">
      <c r="A26" s="22" t="s">
        <v>61</v>
      </c>
      <c r="B26" s="16">
        <v>7</v>
      </c>
      <c r="C26" s="17">
        <f>B26/42</f>
        <v>0.16666666666666666</v>
      </c>
      <c r="D26" s="16">
        <v>1</v>
      </c>
      <c r="E26" s="17">
        <f>D26/46</f>
        <v>2.1739130434782608E-2</v>
      </c>
      <c r="F26" s="16">
        <f>SUM(B26+D26)</f>
        <v>8</v>
      </c>
      <c r="G26" s="18">
        <f t="shared" si="5"/>
        <v>9.0909090909090912E-2</v>
      </c>
    </row>
    <row r="27" spans="1:45" ht="28.5" x14ac:dyDescent="0.25">
      <c r="A27" s="21" t="s">
        <v>62</v>
      </c>
      <c r="B27" s="21"/>
      <c r="C27" s="21"/>
      <c r="D27" s="21"/>
      <c r="E27" s="21"/>
      <c r="F27" s="21"/>
      <c r="G27" s="21"/>
    </row>
    <row r="28" spans="1:45" ht="30" x14ac:dyDescent="0.25">
      <c r="A28" s="23" t="s">
        <v>63</v>
      </c>
      <c r="B28" s="24">
        <v>31</v>
      </c>
      <c r="C28" s="17">
        <f>B28/42</f>
        <v>0.73809523809523814</v>
      </c>
      <c r="D28" s="24">
        <v>37</v>
      </c>
      <c r="E28" s="17">
        <f>D28/46</f>
        <v>0.80434782608695654</v>
      </c>
      <c r="F28" s="16">
        <f>SUM(B28+D28)</f>
        <v>68</v>
      </c>
      <c r="G28" s="18">
        <f>F28/88</f>
        <v>0.77272727272727271</v>
      </c>
    </row>
    <row r="29" spans="1:45" ht="45" x14ac:dyDescent="0.25">
      <c r="A29" s="23" t="s">
        <v>64</v>
      </c>
      <c r="B29" s="24">
        <v>11</v>
      </c>
      <c r="C29" s="17">
        <f>B29/42</f>
        <v>0.26190476190476192</v>
      </c>
      <c r="D29" s="24">
        <v>9</v>
      </c>
      <c r="E29" s="17">
        <f>D29/46</f>
        <v>0.19565217391304349</v>
      </c>
      <c r="F29" s="16">
        <f>SUM(B29+D29)</f>
        <v>20</v>
      </c>
      <c r="G29" s="18">
        <f t="shared" ref="G29" si="6">F29/88</f>
        <v>0.22727272727272727</v>
      </c>
    </row>
    <row r="30" spans="1:45" ht="28.5" x14ac:dyDescent="0.25">
      <c r="A30" s="21" t="s">
        <v>65</v>
      </c>
      <c r="B30" s="21"/>
      <c r="C30" s="21"/>
      <c r="D30" s="21"/>
      <c r="E30" s="21"/>
      <c r="F30" s="21"/>
      <c r="G30" s="21"/>
    </row>
    <row r="31" spans="1:45" x14ac:dyDescent="0.25">
      <c r="A31" s="23" t="s">
        <v>66</v>
      </c>
      <c r="B31" s="24">
        <v>9</v>
      </c>
      <c r="C31" s="17">
        <f>B31/42</f>
        <v>0.21428571428571427</v>
      </c>
      <c r="D31" s="16">
        <v>13</v>
      </c>
      <c r="E31" s="17">
        <f>D31/46</f>
        <v>0.28260869565217389</v>
      </c>
      <c r="F31" s="16">
        <f>SUM(B31+D31)</f>
        <v>22</v>
      </c>
      <c r="G31" s="18">
        <f>F31/88</f>
        <v>0.25</v>
      </c>
    </row>
    <row r="32" spans="1:45" x14ac:dyDescent="0.25">
      <c r="A32" s="23" t="s">
        <v>67</v>
      </c>
      <c r="B32" s="24">
        <v>33</v>
      </c>
      <c r="C32" s="17">
        <f>B32/42</f>
        <v>0.7857142857142857</v>
      </c>
      <c r="D32" s="16">
        <v>33</v>
      </c>
      <c r="E32" s="17">
        <f>D32/46</f>
        <v>0.71739130434782605</v>
      </c>
      <c r="F32" s="16">
        <f>SUM(B32+D32)</f>
        <v>66</v>
      </c>
      <c r="G32" s="18">
        <f t="shared" ref="G32" si="7">F32/88</f>
        <v>0.75</v>
      </c>
    </row>
    <row r="33" spans="1:7" ht="28.5" x14ac:dyDescent="0.25">
      <c r="A33" s="21" t="s">
        <v>68</v>
      </c>
      <c r="B33" s="21"/>
      <c r="C33" s="21"/>
      <c r="D33" s="21"/>
      <c r="E33" s="21"/>
      <c r="F33" s="21"/>
      <c r="G33" s="21"/>
    </row>
    <row r="34" spans="1:7" x14ac:dyDescent="0.25">
      <c r="A34" s="23" t="s">
        <v>69</v>
      </c>
      <c r="B34" s="16">
        <v>38</v>
      </c>
      <c r="C34" s="17">
        <f>B34/42</f>
        <v>0.90476190476190477</v>
      </c>
      <c r="D34" s="16">
        <v>44</v>
      </c>
      <c r="E34" s="17">
        <f>D34/46</f>
        <v>0.95652173913043481</v>
      </c>
      <c r="F34" s="16">
        <f>SUM(B34+D34)</f>
        <v>82</v>
      </c>
      <c r="G34" s="18">
        <f>F34/88</f>
        <v>0.93181818181818177</v>
      </c>
    </row>
    <row r="35" spans="1:7" x14ac:dyDescent="0.25">
      <c r="A35" s="23" t="s">
        <v>70</v>
      </c>
      <c r="B35" s="16">
        <v>4</v>
      </c>
      <c r="C35" s="17">
        <f>B35/42</f>
        <v>9.5238095238095233E-2</v>
      </c>
      <c r="D35" s="16">
        <v>2</v>
      </c>
      <c r="E35" s="17">
        <f>D35/46</f>
        <v>4.3478260869565216E-2</v>
      </c>
      <c r="F35" s="16">
        <f>SUM(B35+D35)</f>
        <v>6</v>
      </c>
      <c r="G35" s="18">
        <f>F35/88</f>
        <v>6.8181818181818177E-2</v>
      </c>
    </row>
    <row r="36" spans="1:7" ht="57" x14ac:dyDescent="0.25">
      <c r="A36" s="21" t="s">
        <v>71</v>
      </c>
      <c r="B36" s="21"/>
      <c r="C36" s="21"/>
      <c r="D36" s="21"/>
      <c r="E36" s="21"/>
      <c r="F36" s="21"/>
      <c r="G36" s="21"/>
    </row>
    <row r="37" spans="1:7" x14ac:dyDescent="0.25">
      <c r="A37" s="23" t="s">
        <v>72</v>
      </c>
      <c r="B37" s="16">
        <v>27</v>
      </c>
      <c r="C37" s="17">
        <f>B37/42</f>
        <v>0.6428571428571429</v>
      </c>
      <c r="D37" s="16">
        <v>21</v>
      </c>
      <c r="E37" s="17">
        <f>D37/46</f>
        <v>0.45652173913043476</v>
      </c>
      <c r="F37" s="16">
        <f>SUM(B37+D37)</f>
        <v>48</v>
      </c>
      <c r="G37" s="18">
        <f>F37/88</f>
        <v>0.54545454545454541</v>
      </c>
    </row>
    <row r="38" spans="1:7" x14ac:dyDescent="0.25">
      <c r="A38" s="23" t="s">
        <v>73</v>
      </c>
      <c r="B38" s="16">
        <v>15</v>
      </c>
      <c r="C38" s="17">
        <f>B38/42</f>
        <v>0.35714285714285715</v>
      </c>
      <c r="D38" s="16">
        <v>25</v>
      </c>
      <c r="E38" s="17">
        <f>D38/46</f>
        <v>0.54347826086956519</v>
      </c>
      <c r="F38" s="16">
        <f>SUM(B38+D38)</f>
        <v>40</v>
      </c>
      <c r="G38" s="18">
        <f>F38/88</f>
        <v>0.45454545454545453</v>
      </c>
    </row>
    <row r="39" spans="1:7" ht="28.5" x14ac:dyDescent="0.25">
      <c r="A39" s="21" t="s">
        <v>74</v>
      </c>
      <c r="B39" s="21"/>
      <c r="C39" s="21"/>
      <c r="D39" s="21"/>
      <c r="E39" s="21"/>
      <c r="F39" s="21"/>
      <c r="G39" s="21"/>
    </row>
    <row r="40" spans="1:7" x14ac:dyDescent="0.25">
      <c r="A40" s="23" t="s">
        <v>72</v>
      </c>
      <c r="B40" s="16">
        <v>36</v>
      </c>
      <c r="C40" s="17">
        <f>B40/42</f>
        <v>0.8571428571428571</v>
      </c>
      <c r="D40" s="16">
        <v>43</v>
      </c>
      <c r="E40" s="17">
        <f>D40/46</f>
        <v>0.93478260869565222</v>
      </c>
      <c r="F40" s="16">
        <f>SUM(B40+D40)</f>
        <v>79</v>
      </c>
      <c r="G40" s="18">
        <f>F40/88</f>
        <v>0.89772727272727271</v>
      </c>
    </row>
    <row r="41" spans="1:7" x14ac:dyDescent="0.25">
      <c r="A41" s="23" t="s">
        <v>73</v>
      </c>
      <c r="B41" s="16">
        <v>6</v>
      </c>
      <c r="C41" s="17">
        <f>B41/42</f>
        <v>0.14285714285714285</v>
      </c>
      <c r="D41" s="16">
        <v>3</v>
      </c>
      <c r="E41" s="17">
        <f>D41/46</f>
        <v>6.5217391304347824E-2</v>
      </c>
      <c r="F41" s="16">
        <f>SUM(B41+D41)</f>
        <v>9</v>
      </c>
      <c r="G41" s="18">
        <f>F41/88</f>
        <v>0.10227272727272728</v>
      </c>
    </row>
    <row r="42" spans="1:7" ht="42.75" x14ac:dyDescent="0.25">
      <c r="A42" s="21" t="s">
        <v>75</v>
      </c>
      <c r="B42" s="21"/>
      <c r="C42" s="21"/>
      <c r="D42" s="21"/>
      <c r="E42" s="21"/>
      <c r="F42" s="21"/>
      <c r="G42" s="21"/>
    </row>
    <row r="43" spans="1:7" x14ac:dyDescent="0.25">
      <c r="A43" s="23" t="s">
        <v>76</v>
      </c>
      <c r="B43" s="16">
        <v>0</v>
      </c>
      <c r="C43" s="17">
        <f>B43/42</f>
        <v>0</v>
      </c>
      <c r="D43" s="16">
        <v>0</v>
      </c>
      <c r="E43" s="17">
        <f>D43/46</f>
        <v>0</v>
      </c>
      <c r="F43" s="16">
        <f>SUM(B43+D43)</f>
        <v>0</v>
      </c>
      <c r="G43" s="18">
        <f>F43/88</f>
        <v>0</v>
      </c>
    </row>
    <row r="44" spans="1:7" ht="30" x14ac:dyDescent="0.25">
      <c r="A44" s="23" t="s">
        <v>77</v>
      </c>
      <c r="B44" s="16">
        <v>19</v>
      </c>
      <c r="C44" s="17">
        <f>B44/42</f>
        <v>0.45238095238095238</v>
      </c>
      <c r="D44" s="16">
        <v>29</v>
      </c>
      <c r="E44" s="17">
        <f>D44/46</f>
        <v>0.63043478260869568</v>
      </c>
      <c r="F44" s="16">
        <f>SUM(B44+D44)</f>
        <v>48</v>
      </c>
      <c r="G44" s="18">
        <f>F44/88</f>
        <v>0.54545454545454541</v>
      </c>
    </row>
    <row r="45" spans="1:7" x14ac:dyDescent="0.25">
      <c r="A45" s="23" t="s">
        <v>78</v>
      </c>
      <c r="B45" s="16">
        <v>22</v>
      </c>
      <c r="C45" s="17">
        <f>B45/42</f>
        <v>0.52380952380952384</v>
      </c>
      <c r="D45" s="16">
        <v>16</v>
      </c>
      <c r="E45" s="17">
        <f>D45/46</f>
        <v>0.34782608695652173</v>
      </c>
      <c r="F45" s="16">
        <f>SUM(B45+D45)</f>
        <v>38</v>
      </c>
      <c r="G45" s="18">
        <f>F45/88</f>
        <v>0.43181818181818182</v>
      </c>
    </row>
    <row r="46" spans="1:7" x14ac:dyDescent="0.25">
      <c r="A46" s="25" t="s">
        <v>79</v>
      </c>
      <c r="B46" s="26">
        <v>1</v>
      </c>
      <c r="C46" s="27">
        <f>B46/42</f>
        <v>2.3809523809523808E-2</v>
      </c>
      <c r="D46" s="26">
        <v>1</v>
      </c>
      <c r="E46" s="27">
        <f>D46/46</f>
        <v>2.1739130434782608E-2</v>
      </c>
      <c r="F46" s="26">
        <f>SUM(B46+D46)</f>
        <v>2</v>
      </c>
      <c r="G46" s="28">
        <f>F46/88</f>
        <v>2.2727272727272728E-2</v>
      </c>
    </row>
  </sheetData>
  <mergeCells count="37">
    <mergeCell ref="AJ15:AJ16"/>
    <mergeCell ref="AJ17:AJ18"/>
    <mergeCell ref="AR1:AR3"/>
    <mergeCell ref="AS1:AS3"/>
    <mergeCell ref="AJ4:AJ7"/>
    <mergeCell ref="AJ8:AJ11"/>
    <mergeCell ref="AJ12:AJ14"/>
    <mergeCell ref="AJ1:AJ3"/>
    <mergeCell ref="AK1:AK3"/>
    <mergeCell ref="AL1:AL3"/>
    <mergeCell ref="AN1:AN3"/>
    <mergeCell ref="AP1:AP3"/>
    <mergeCell ref="A1:G1"/>
    <mergeCell ref="A2:A3"/>
    <mergeCell ref="B2:C2"/>
    <mergeCell ref="D2:E2"/>
    <mergeCell ref="F2:G2"/>
    <mergeCell ref="L1:AF1"/>
    <mergeCell ref="L2:L3"/>
    <mergeCell ref="M2:T2"/>
    <mergeCell ref="U2:AF2"/>
    <mergeCell ref="M3:P3"/>
    <mergeCell ref="Q3:T3"/>
    <mergeCell ref="U3:X3"/>
    <mergeCell ref="Y3:AB3"/>
    <mergeCell ref="AC3:AF3"/>
    <mergeCell ref="Y4:Z4"/>
    <mergeCell ref="AA4:AB4"/>
    <mergeCell ref="AC4:AD4"/>
    <mergeCell ref="AE4:AF4"/>
    <mergeCell ref="A4:G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7937-B018-4A66-9FA7-B1DA67EAF1CC}">
  <dimension ref="A1:C27"/>
  <sheetViews>
    <sheetView workbookViewId="0">
      <selection activeCell="F4" sqref="F4"/>
    </sheetView>
  </sheetViews>
  <sheetFormatPr baseColWidth="10" defaultRowHeight="15" x14ac:dyDescent="0.25"/>
  <cols>
    <col min="2" max="2" width="6" customWidth="1"/>
  </cols>
  <sheetData>
    <row r="1" spans="1:3" x14ac:dyDescent="0.25">
      <c r="A1" t="s">
        <v>17</v>
      </c>
      <c r="B1">
        <v>0</v>
      </c>
      <c r="C1" t="s">
        <v>18</v>
      </c>
    </row>
    <row r="2" spans="1:3" x14ac:dyDescent="0.25">
      <c r="B2">
        <v>1</v>
      </c>
      <c r="C2" t="s">
        <v>19</v>
      </c>
    </row>
    <row r="3" spans="1:3" x14ac:dyDescent="0.25">
      <c r="A3" t="s">
        <v>20</v>
      </c>
      <c r="B3">
        <v>0</v>
      </c>
      <c r="C3" t="s">
        <v>22</v>
      </c>
    </row>
    <row r="4" spans="1:3" x14ac:dyDescent="0.25">
      <c r="B4">
        <v>1</v>
      </c>
      <c r="C4" t="s">
        <v>21</v>
      </c>
    </row>
    <row r="5" spans="1:3" x14ac:dyDescent="0.25">
      <c r="A5" s="1" t="s">
        <v>1</v>
      </c>
      <c r="B5">
        <v>0</v>
      </c>
      <c r="C5" t="s">
        <v>24</v>
      </c>
    </row>
    <row r="6" spans="1:3" x14ac:dyDescent="0.25">
      <c r="A6" s="1"/>
      <c r="B6">
        <v>1</v>
      </c>
      <c r="C6" t="s">
        <v>23</v>
      </c>
    </row>
    <row r="7" spans="1:3" x14ac:dyDescent="0.25">
      <c r="A7" s="1" t="s">
        <v>2</v>
      </c>
    </row>
    <row r="8" spans="1:3" x14ac:dyDescent="0.25">
      <c r="A8" s="1" t="s">
        <v>3</v>
      </c>
      <c r="B8">
        <v>1</v>
      </c>
      <c r="C8" t="s">
        <v>27</v>
      </c>
    </row>
    <row r="9" spans="1:3" x14ac:dyDescent="0.25">
      <c r="A9" s="1"/>
      <c r="B9">
        <v>2</v>
      </c>
      <c r="C9" t="s">
        <v>25</v>
      </c>
    </row>
    <row r="10" spans="1:3" x14ac:dyDescent="0.25">
      <c r="A10" s="1"/>
      <c r="B10">
        <v>3</v>
      </c>
      <c r="C10" t="s">
        <v>28</v>
      </c>
    </row>
    <row r="11" spans="1:3" x14ac:dyDescent="0.25">
      <c r="A11" s="1"/>
      <c r="B11">
        <v>4</v>
      </c>
      <c r="C11" t="s">
        <v>26</v>
      </c>
    </row>
    <row r="12" spans="1:3" x14ac:dyDescent="0.25">
      <c r="A12" s="1" t="s">
        <v>4</v>
      </c>
      <c r="B12">
        <v>0</v>
      </c>
      <c r="C12" t="s">
        <v>22</v>
      </c>
    </row>
    <row r="13" spans="1:3" x14ac:dyDescent="0.25">
      <c r="A13" s="1"/>
      <c r="B13">
        <v>1</v>
      </c>
      <c r="C13" t="s">
        <v>21</v>
      </c>
    </row>
    <row r="14" spans="1:3" x14ac:dyDescent="0.25">
      <c r="A14" s="1" t="s">
        <v>5</v>
      </c>
      <c r="B14">
        <v>0</v>
      </c>
      <c r="C14" t="s">
        <v>18</v>
      </c>
    </row>
    <row r="15" spans="1:3" x14ac:dyDescent="0.25">
      <c r="A15" s="1"/>
      <c r="B15">
        <v>1</v>
      </c>
      <c r="C15" t="s">
        <v>19</v>
      </c>
    </row>
    <row r="16" spans="1:3" x14ac:dyDescent="0.25">
      <c r="A16" s="1" t="s">
        <v>6</v>
      </c>
    </row>
    <row r="17" spans="1:3" x14ac:dyDescent="0.25">
      <c r="A17" s="1" t="s">
        <v>7</v>
      </c>
      <c r="B17">
        <v>0</v>
      </c>
      <c r="C17" t="s">
        <v>29</v>
      </c>
    </row>
    <row r="18" spans="1:3" x14ac:dyDescent="0.25">
      <c r="A18" s="1"/>
      <c r="B18">
        <v>1</v>
      </c>
      <c r="C18" t="s">
        <v>30</v>
      </c>
    </row>
    <row r="19" spans="1:3" x14ac:dyDescent="0.25">
      <c r="A19" s="2" t="s">
        <v>8</v>
      </c>
    </row>
    <row r="20" spans="1:3" x14ac:dyDescent="0.25">
      <c r="A20" s="2" t="s">
        <v>9</v>
      </c>
    </row>
    <row r="21" spans="1:3" x14ac:dyDescent="0.25">
      <c r="A21" s="2" t="s">
        <v>10</v>
      </c>
    </row>
    <row r="22" spans="1:3" x14ac:dyDescent="0.25">
      <c r="A22" s="3" t="s">
        <v>11</v>
      </c>
    </row>
    <row r="23" spans="1:3" x14ac:dyDescent="0.25">
      <c r="A23" s="4" t="s">
        <v>12</v>
      </c>
    </row>
    <row r="24" spans="1:3" x14ac:dyDescent="0.25">
      <c r="A24" s="4" t="s">
        <v>13</v>
      </c>
    </row>
    <row r="25" spans="1:3" ht="30" x14ac:dyDescent="0.25">
      <c r="A25" s="5" t="s">
        <v>14</v>
      </c>
    </row>
    <row r="26" spans="1:3" x14ac:dyDescent="0.25">
      <c r="A26" s="5" t="s">
        <v>15</v>
      </c>
    </row>
    <row r="27" spans="1:3" ht="45" x14ac:dyDescent="0.25">
      <c r="A27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Zapata Bohorquez</dc:creator>
  <cp:lastModifiedBy>Carlos Enrique Zapata Bohorquez</cp:lastModifiedBy>
  <dcterms:created xsi:type="dcterms:W3CDTF">2020-11-10T19:21:08Z</dcterms:created>
  <dcterms:modified xsi:type="dcterms:W3CDTF">2021-01-06T14:44:26Z</dcterms:modified>
</cp:coreProperties>
</file>