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czapata\Dropbox\Collaboration Zapata\Master ANDES\"/>
    </mc:Choice>
  </mc:AlternateContent>
  <xr:revisionPtr revIDLastSave="0" documentId="13_ncr:1_{066BBFC9-F477-408D-9ACC-2EA3ADC2912D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ANALISIS" sheetId="4" r:id="rId1"/>
    <sheet name="TABLAS" sheetId="3" r:id="rId2"/>
    <sheet name="analisis con dummys" sheetId="8" r:id="rId3"/>
    <sheet name="DATABASE" sheetId="1" r:id="rId4"/>
    <sheet name="Pruebas Aculturación" sheetId="10" r:id="rId5"/>
    <sheet name="Pruebas" sheetId="6" r:id="rId6"/>
    <sheet name="Regresiones" sheetId="7" r:id="rId7"/>
    <sheet name="ANOTACIONES" sheetId="2" r:id="rId8"/>
  </sheets>
  <definedNames>
    <definedName name="_xlnm._FilterDatabase" localSheetId="0" hidden="1">ANALISIS!$A$1:$Q$89</definedName>
    <definedName name="_xlnm._FilterDatabase" localSheetId="3" hidden="1">DATABASE!$L$1:$L$92</definedName>
    <definedName name="_Hlk49941869" localSheetId="1">TABLAS!#REF!</definedName>
  </definedNames>
  <calcPr calcId="181029"/>
</workbook>
</file>

<file path=xl/calcChain.xml><?xml version="1.0" encoding="utf-8"?>
<calcChain xmlns="http://schemas.openxmlformats.org/spreadsheetml/2006/main">
  <c r="C5" i="3" l="1"/>
  <c r="F9" i="3" l="1"/>
  <c r="G9" i="3" s="1"/>
  <c r="E11" i="3"/>
  <c r="E12" i="3"/>
  <c r="E13" i="3"/>
  <c r="E14" i="3"/>
  <c r="E16" i="3"/>
  <c r="E17" i="3"/>
  <c r="E18" i="3"/>
  <c r="E19" i="3"/>
  <c r="E20" i="3"/>
  <c r="E21" i="3"/>
  <c r="E23" i="3"/>
  <c r="E24" i="3"/>
  <c r="E25" i="3"/>
  <c r="E26" i="3"/>
  <c r="E28" i="3"/>
  <c r="E29" i="3"/>
  <c r="E31" i="3"/>
  <c r="E32" i="3"/>
  <c r="E34" i="3"/>
  <c r="E35" i="3"/>
  <c r="E37" i="3"/>
  <c r="E38" i="3"/>
  <c r="E40" i="3"/>
  <c r="E41" i="3"/>
  <c r="E43" i="3"/>
  <c r="E44" i="3"/>
  <c r="E45" i="3"/>
  <c r="E46" i="3"/>
  <c r="C16" i="3"/>
  <c r="C17" i="3"/>
  <c r="C18" i="3"/>
  <c r="C19" i="3"/>
  <c r="C20" i="3"/>
  <c r="C21" i="3"/>
  <c r="C23" i="3"/>
  <c r="C24" i="3"/>
  <c r="C25" i="3"/>
  <c r="C26" i="3"/>
  <c r="C28" i="3"/>
  <c r="C29" i="3"/>
  <c r="C31" i="3"/>
  <c r="C32" i="3"/>
  <c r="C34" i="3"/>
  <c r="C35" i="3"/>
  <c r="C37" i="3"/>
  <c r="C38" i="3"/>
  <c r="C40" i="3"/>
  <c r="C41" i="3"/>
  <c r="C43" i="3"/>
  <c r="C44" i="3"/>
  <c r="C45" i="3"/>
  <c r="C46" i="3"/>
  <c r="C11" i="3"/>
  <c r="C12" i="3"/>
  <c r="C13" i="3"/>
  <c r="C14" i="3"/>
  <c r="E5" i="3"/>
  <c r="E6" i="3"/>
  <c r="E7" i="3"/>
  <c r="E8" i="3"/>
  <c r="E9" i="3"/>
  <c r="C6" i="3"/>
  <c r="C7" i="3"/>
  <c r="C8" i="3"/>
  <c r="C9" i="3"/>
  <c r="I4" i="7" l="1"/>
  <c r="I5" i="7"/>
  <c r="I6" i="7"/>
  <c r="I7" i="7"/>
  <c r="I8" i="7"/>
  <c r="I9" i="7"/>
  <c r="I10" i="7"/>
  <c r="I11" i="7"/>
  <c r="I12" i="7"/>
  <c r="I13" i="7"/>
  <c r="I14" i="7"/>
  <c r="I3" i="7"/>
  <c r="I2" i="7" l="1"/>
  <c r="J2" i="7" s="1"/>
  <c r="F5" i="3" l="1"/>
  <c r="G5" i="3" s="1"/>
  <c r="M96" i="1" l="1"/>
  <c r="M95" i="1"/>
  <c r="M92" i="1"/>
  <c r="M93" i="1"/>
  <c r="M94" i="1" s="1"/>
  <c r="M91" i="1"/>
  <c r="M90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3" i="1" l="1"/>
  <c r="L96" i="1"/>
  <c r="L90" i="1"/>
  <c r="L95" i="1"/>
  <c r="L91" i="1"/>
  <c r="L92" i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3" i="3"/>
  <c r="G23" i="3" s="1"/>
  <c r="F24" i="3"/>
  <c r="G24" i="3" s="1"/>
  <c r="F25" i="3"/>
  <c r="G25" i="3" s="1"/>
  <c r="F26" i="3"/>
  <c r="G26" i="3" s="1"/>
  <c r="F28" i="3"/>
  <c r="G28" i="3" s="1"/>
  <c r="F29" i="3"/>
  <c r="G29" i="3" s="1"/>
  <c r="F31" i="3"/>
  <c r="G31" i="3" s="1"/>
  <c r="F32" i="3"/>
  <c r="G32" i="3" s="1"/>
  <c r="F34" i="3"/>
  <c r="G34" i="3" s="1"/>
  <c r="F35" i="3"/>
  <c r="G35" i="3" s="1"/>
  <c r="F37" i="3"/>
  <c r="G37" i="3" s="1"/>
  <c r="F38" i="3"/>
  <c r="G38" i="3" s="1"/>
  <c r="F40" i="3"/>
  <c r="G40" i="3" s="1"/>
  <c r="F41" i="3"/>
  <c r="G41" i="3" s="1"/>
  <c r="F43" i="3"/>
  <c r="G43" i="3" s="1"/>
  <c r="F44" i="3"/>
  <c r="G44" i="3" s="1"/>
  <c r="F45" i="3"/>
  <c r="G45" i="3" s="1"/>
  <c r="F46" i="3"/>
  <c r="G46" i="3" s="1"/>
  <c r="F11" i="3"/>
  <c r="G11" i="3" s="1"/>
  <c r="F12" i="3"/>
  <c r="G12" i="3" s="1"/>
  <c r="F13" i="3"/>
  <c r="G13" i="3" s="1"/>
  <c r="F14" i="3"/>
  <c r="G14" i="3" s="1"/>
  <c r="F6" i="3"/>
  <c r="G6" i="3" s="1"/>
  <c r="F7" i="3"/>
  <c r="G7" i="3" s="1"/>
  <c r="F8" i="3"/>
  <c r="G8" i="3" s="1"/>
  <c r="L94" i="1" l="1"/>
  <c r="AZ89" i="1"/>
  <c r="AU89" i="1"/>
  <c r="AP89" i="1"/>
  <c r="AQ89" i="1" s="1"/>
  <c r="AL89" i="1"/>
  <c r="AG89" i="1"/>
  <c r="AZ88" i="1"/>
  <c r="AU88" i="1"/>
  <c r="AP88" i="1"/>
  <c r="AQ88" i="1" s="1"/>
  <c r="AL88" i="1"/>
  <c r="AG88" i="1"/>
  <c r="AZ87" i="1"/>
  <c r="AU87" i="1"/>
  <c r="AP87" i="1"/>
  <c r="AQ87" i="1" s="1"/>
  <c r="AL87" i="1"/>
  <c r="AG87" i="1"/>
  <c r="AZ86" i="1"/>
  <c r="AU86" i="1"/>
  <c r="AP86" i="1"/>
  <c r="AQ86" i="1" s="1"/>
  <c r="AL86" i="1"/>
  <c r="AG86" i="1"/>
  <c r="AZ85" i="1"/>
  <c r="AU85" i="1"/>
  <c r="AP85" i="1"/>
  <c r="AQ85" i="1" s="1"/>
  <c r="AL85" i="1"/>
  <c r="AG85" i="1"/>
  <c r="AZ84" i="1"/>
  <c r="AU84" i="1"/>
  <c r="AP84" i="1"/>
  <c r="AQ84" i="1" s="1"/>
  <c r="AL84" i="1"/>
  <c r="AG84" i="1"/>
  <c r="AZ83" i="1"/>
  <c r="AU83" i="1"/>
  <c r="AP83" i="1"/>
  <c r="AQ83" i="1" s="1"/>
  <c r="AL83" i="1"/>
  <c r="AG83" i="1"/>
  <c r="AZ82" i="1"/>
  <c r="AU82" i="1"/>
  <c r="AP82" i="1"/>
  <c r="AQ82" i="1" s="1"/>
  <c r="AL82" i="1"/>
  <c r="AG82" i="1"/>
  <c r="AZ81" i="1"/>
  <c r="AU81" i="1"/>
  <c r="AP81" i="1"/>
  <c r="AQ81" i="1" s="1"/>
  <c r="AL81" i="1"/>
  <c r="AG81" i="1"/>
  <c r="AZ80" i="1"/>
  <c r="AU80" i="1"/>
  <c r="AP80" i="1"/>
  <c r="AQ80" i="1" s="1"/>
  <c r="AL80" i="1"/>
  <c r="AG80" i="1"/>
  <c r="AZ79" i="1"/>
  <c r="AU79" i="1"/>
  <c r="AP79" i="1"/>
  <c r="AQ79" i="1" s="1"/>
  <c r="AL79" i="1"/>
  <c r="AG79" i="1"/>
  <c r="AZ78" i="1"/>
  <c r="AU78" i="1"/>
  <c r="AP78" i="1"/>
  <c r="AQ78" i="1" s="1"/>
  <c r="AL78" i="1"/>
  <c r="AG78" i="1"/>
  <c r="AZ77" i="1"/>
  <c r="AU77" i="1"/>
  <c r="AP77" i="1"/>
  <c r="AQ77" i="1" s="1"/>
  <c r="AL77" i="1"/>
  <c r="AG77" i="1"/>
  <c r="AZ76" i="1"/>
  <c r="AU76" i="1"/>
  <c r="AP76" i="1"/>
  <c r="AQ76" i="1" s="1"/>
  <c r="AL76" i="1"/>
  <c r="AG76" i="1"/>
  <c r="AZ75" i="1"/>
  <c r="AU75" i="1"/>
  <c r="AP75" i="1"/>
  <c r="AQ75" i="1" s="1"/>
  <c r="AL75" i="1"/>
  <c r="AG75" i="1"/>
  <c r="AZ74" i="1"/>
  <c r="AU74" i="1"/>
  <c r="AP74" i="1"/>
  <c r="AQ74" i="1" s="1"/>
  <c r="AL74" i="1"/>
  <c r="AG74" i="1"/>
  <c r="AZ73" i="1"/>
  <c r="AU73" i="1"/>
  <c r="AP73" i="1"/>
  <c r="AQ73" i="1" s="1"/>
  <c r="AL73" i="1"/>
  <c r="AG73" i="1"/>
  <c r="AZ72" i="1"/>
  <c r="AU72" i="1"/>
  <c r="AP72" i="1"/>
  <c r="AQ72" i="1" s="1"/>
  <c r="AL72" i="1"/>
  <c r="AG72" i="1"/>
  <c r="AZ71" i="1"/>
  <c r="AU71" i="1"/>
  <c r="AP71" i="1"/>
  <c r="AQ71" i="1" s="1"/>
  <c r="AL71" i="1"/>
  <c r="AG71" i="1"/>
  <c r="AZ70" i="1"/>
  <c r="AU70" i="1"/>
  <c r="AP70" i="1"/>
  <c r="AQ70" i="1" s="1"/>
  <c r="AL70" i="1"/>
  <c r="AG70" i="1"/>
  <c r="AZ69" i="1"/>
  <c r="AU69" i="1"/>
  <c r="AP69" i="1"/>
  <c r="AQ69" i="1" s="1"/>
  <c r="AL69" i="1"/>
  <c r="AG69" i="1"/>
  <c r="AZ68" i="1"/>
  <c r="AU68" i="1"/>
  <c r="AP68" i="1"/>
  <c r="AQ68" i="1" s="1"/>
  <c r="AL68" i="1"/>
  <c r="AG68" i="1"/>
  <c r="AZ67" i="1"/>
  <c r="AU67" i="1"/>
  <c r="AP67" i="1"/>
  <c r="AQ67" i="1" s="1"/>
  <c r="AL67" i="1"/>
  <c r="AG67" i="1"/>
  <c r="AZ66" i="1"/>
  <c r="AU66" i="1"/>
  <c r="AP66" i="1"/>
  <c r="AQ66" i="1" s="1"/>
  <c r="AL66" i="1"/>
  <c r="AG66" i="1"/>
  <c r="AZ65" i="1"/>
  <c r="AU65" i="1"/>
  <c r="AP65" i="1"/>
  <c r="AQ65" i="1" s="1"/>
  <c r="AL65" i="1"/>
  <c r="AG65" i="1"/>
  <c r="AZ64" i="1"/>
  <c r="AU64" i="1"/>
  <c r="AP64" i="1"/>
  <c r="AQ64" i="1" s="1"/>
  <c r="AL64" i="1"/>
  <c r="AG64" i="1"/>
  <c r="AZ63" i="1"/>
  <c r="AU63" i="1"/>
  <c r="AP63" i="1"/>
  <c r="AQ63" i="1" s="1"/>
  <c r="AL63" i="1"/>
  <c r="AG63" i="1"/>
  <c r="AZ62" i="1"/>
  <c r="AU62" i="1"/>
  <c r="AP62" i="1"/>
  <c r="AQ62" i="1" s="1"/>
  <c r="AL62" i="1"/>
  <c r="AG62" i="1"/>
  <c r="AZ61" i="1"/>
  <c r="AU61" i="1"/>
  <c r="AP61" i="1"/>
  <c r="AQ61" i="1" s="1"/>
  <c r="AL61" i="1"/>
  <c r="AG61" i="1"/>
  <c r="AZ60" i="1"/>
  <c r="AU60" i="1"/>
  <c r="AP60" i="1"/>
  <c r="AQ60" i="1" s="1"/>
  <c r="AL60" i="1"/>
  <c r="AG60" i="1"/>
  <c r="AZ59" i="1"/>
  <c r="AU59" i="1"/>
  <c r="AP59" i="1"/>
  <c r="AQ59" i="1" s="1"/>
  <c r="AL59" i="1"/>
  <c r="AG59" i="1"/>
  <c r="AZ58" i="1"/>
  <c r="AU58" i="1"/>
  <c r="AP58" i="1"/>
  <c r="AQ58" i="1" s="1"/>
  <c r="AL58" i="1"/>
  <c r="AG58" i="1"/>
  <c r="AZ57" i="1"/>
  <c r="AU57" i="1"/>
  <c r="AP57" i="1"/>
  <c r="AQ57" i="1" s="1"/>
  <c r="AL57" i="1"/>
  <c r="AG57" i="1"/>
  <c r="AZ56" i="1"/>
  <c r="AU56" i="1"/>
  <c r="AP56" i="1"/>
  <c r="AQ56" i="1" s="1"/>
  <c r="AL56" i="1"/>
  <c r="AG56" i="1"/>
  <c r="AZ55" i="1"/>
  <c r="AU55" i="1"/>
  <c r="AP55" i="1"/>
  <c r="AQ55" i="1" s="1"/>
  <c r="AL55" i="1"/>
  <c r="AG55" i="1"/>
  <c r="AZ54" i="1"/>
  <c r="AU54" i="1"/>
  <c r="AP54" i="1"/>
  <c r="AQ54" i="1" s="1"/>
  <c r="AL54" i="1"/>
  <c r="AG54" i="1"/>
  <c r="AZ53" i="1"/>
  <c r="AU53" i="1"/>
  <c r="AP53" i="1"/>
  <c r="AQ53" i="1" s="1"/>
  <c r="AL53" i="1"/>
  <c r="AG53" i="1"/>
  <c r="AZ52" i="1"/>
  <c r="AU52" i="1"/>
  <c r="AP52" i="1"/>
  <c r="AQ52" i="1" s="1"/>
  <c r="AL52" i="1"/>
  <c r="AG52" i="1"/>
  <c r="AZ51" i="1"/>
  <c r="AU51" i="1"/>
  <c r="AP51" i="1"/>
  <c r="AQ51" i="1" s="1"/>
  <c r="AL51" i="1"/>
  <c r="AG51" i="1"/>
  <c r="AZ50" i="1"/>
  <c r="AU50" i="1"/>
  <c r="AP50" i="1"/>
  <c r="AQ50" i="1" s="1"/>
  <c r="AL50" i="1"/>
  <c r="AG50" i="1"/>
  <c r="AZ49" i="1"/>
  <c r="AU49" i="1"/>
  <c r="AP49" i="1"/>
  <c r="AQ49" i="1" s="1"/>
  <c r="AL49" i="1"/>
  <c r="AG49" i="1"/>
  <c r="AZ48" i="1"/>
  <c r="AU48" i="1"/>
  <c r="AP48" i="1"/>
  <c r="AQ48" i="1" s="1"/>
  <c r="AL48" i="1"/>
  <c r="AG48" i="1"/>
  <c r="AZ47" i="1"/>
  <c r="AU47" i="1"/>
  <c r="AP47" i="1"/>
  <c r="AQ47" i="1" s="1"/>
  <c r="AL47" i="1"/>
  <c r="AG47" i="1"/>
  <c r="AZ46" i="1"/>
  <c r="AU46" i="1"/>
  <c r="AP46" i="1"/>
  <c r="AQ46" i="1" s="1"/>
  <c r="AL46" i="1"/>
  <c r="AG46" i="1"/>
  <c r="AZ45" i="1"/>
  <c r="AU45" i="1"/>
  <c r="AP45" i="1"/>
  <c r="AQ45" i="1" s="1"/>
  <c r="AL45" i="1"/>
  <c r="AG45" i="1"/>
  <c r="AZ44" i="1"/>
  <c r="AU44" i="1"/>
  <c r="AP44" i="1"/>
  <c r="AQ44" i="1" s="1"/>
  <c r="AL44" i="1"/>
  <c r="AG44" i="1"/>
  <c r="AZ43" i="1"/>
  <c r="AU43" i="1"/>
  <c r="AP43" i="1"/>
  <c r="AQ43" i="1" s="1"/>
  <c r="AL43" i="1"/>
  <c r="AG43" i="1"/>
  <c r="AZ42" i="1"/>
  <c r="AU42" i="1"/>
  <c r="AP42" i="1"/>
  <c r="AQ42" i="1" s="1"/>
  <c r="AL42" i="1"/>
  <c r="AG42" i="1"/>
  <c r="AZ41" i="1"/>
  <c r="AU41" i="1"/>
  <c r="AP41" i="1"/>
  <c r="AQ41" i="1" s="1"/>
  <c r="AL41" i="1"/>
  <c r="AG41" i="1"/>
  <c r="AZ40" i="1"/>
  <c r="AU40" i="1"/>
  <c r="AP40" i="1"/>
  <c r="AQ40" i="1" s="1"/>
  <c r="AL40" i="1"/>
  <c r="AG40" i="1"/>
  <c r="AZ39" i="1"/>
  <c r="AU39" i="1"/>
  <c r="AP39" i="1"/>
  <c r="AQ39" i="1" s="1"/>
  <c r="AL39" i="1"/>
  <c r="AG39" i="1"/>
  <c r="AZ38" i="1"/>
  <c r="AU38" i="1"/>
  <c r="AP38" i="1"/>
  <c r="AQ38" i="1" s="1"/>
  <c r="AL38" i="1"/>
  <c r="AG38" i="1"/>
  <c r="AZ37" i="1"/>
  <c r="AU37" i="1"/>
  <c r="AP37" i="1"/>
  <c r="AQ37" i="1" s="1"/>
  <c r="AL37" i="1"/>
  <c r="AG37" i="1"/>
  <c r="AZ36" i="1"/>
  <c r="AU36" i="1"/>
  <c r="AP36" i="1"/>
  <c r="AQ36" i="1" s="1"/>
  <c r="AL36" i="1"/>
  <c r="AG36" i="1"/>
  <c r="AZ35" i="1"/>
  <c r="AU35" i="1"/>
  <c r="AP35" i="1"/>
  <c r="AQ35" i="1" s="1"/>
  <c r="AL35" i="1"/>
  <c r="AG35" i="1"/>
  <c r="AZ34" i="1"/>
  <c r="AU34" i="1"/>
  <c r="AP34" i="1"/>
  <c r="AQ34" i="1" s="1"/>
  <c r="AL34" i="1"/>
  <c r="AG34" i="1"/>
  <c r="AZ33" i="1"/>
  <c r="AU33" i="1"/>
  <c r="AP33" i="1"/>
  <c r="AQ33" i="1" s="1"/>
  <c r="AL33" i="1"/>
  <c r="AG33" i="1"/>
  <c r="AZ32" i="1"/>
  <c r="AU32" i="1"/>
  <c r="AP32" i="1"/>
  <c r="AQ32" i="1" s="1"/>
  <c r="AL32" i="1"/>
  <c r="AG32" i="1"/>
  <c r="AZ31" i="1"/>
  <c r="AU31" i="1"/>
  <c r="AP31" i="1"/>
  <c r="AQ31" i="1" s="1"/>
  <c r="AL31" i="1"/>
  <c r="AG31" i="1"/>
  <c r="AZ30" i="1"/>
  <c r="AU30" i="1"/>
  <c r="AP30" i="1"/>
  <c r="AQ30" i="1" s="1"/>
  <c r="AL30" i="1"/>
  <c r="AG30" i="1"/>
  <c r="AZ29" i="1"/>
  <c r="AU29" i="1"/>
  <c r="AP29" i="1"/>
  <c r="AQ29" i="1" s="1"/>
  <c r="AL29" i="1"/>
  <c r="AG29" i="1"/>
  <c r="AZ28" i="1"/>
  <c r="AU28" i="1"/>
  <c r="AP28" i="1"/>
  <c r="AQ28" i="1" s="1"/>
  <c r="AL28" i="1"/>
  <c r="AG28" i="1"/>
  <c r="AZ27" i="1"/>
  <c r="AU27" i="1"/>
  <c r="AP27" i="1"/>
  <c r="AQ27" i="1" s="1"/>
  <c r="AL27" i="1"/>
  <c r="AG27" i="1"/>
  <c r="AZ26" i="1"/>
  <c r="AU26" i="1"/>
  <c r="AQ26" i="1"/>
  <c r="AP26" i="1"/>
  <c r="AL26" i="1"/>
  <c r="AG26" i="1"/>
  <c r="AZ25" i="1"/>
  <c r="AU25" i="1"/>
  <c r="AQ25" i="1"/>
  <c r="AP25" i="1"/>
  <c r="AL25" i="1"/>
  <c r="AG25" i="1"/>
  <c r="AZ24" i="1"/>
  <c r="AU24" i="1"/>
  <c r="AQ24" i="1"/>
  <c r="AP24" i="1"/>
  <c r="AL24" i="1"/>
  <c r="AG24" i="1"/>
  <c r="AZ23" i="1"/>
  <c r="AU23" i="1"/>
  <c r="AQ23" i="1"/>
  <c r="AP23" i="1"/>
  <c r="AL23" i="1"/>
  <c r="AG23" i="1"/>
  <c r="AZ22" i="1"/>
  <c r="AU22" i="1"/>
  <c r="AQ22" i="1"/>
  <c r="AP22" i="1"/>
  <c r="AL22" i="1"/>
  <c r="AG22" i="1"/>
  <c r="AZ21" i="1"/>
  <c r="AU21" i="1"/>
  <c r="AQ21" i="1"/>
  <c r="AP21" i="1"/>
  <c r="AL21" i="1"/>
  <c r="AG21" i="1"/>
  <c r="AZ20" i="1"/>
  <c r="AU20" i="1"/>
  <c r="AP20" i="1"/>
  <c r="AQ20" i="1" s="1"/>
  <c r="AL20" i="1"/>
  <c r="AG20" i="1"/>
  <c r="AZ19" i="1"/>
  <c r="AU19" i="1"/>
  <c r="AP19" i="1"/>
  <c r="AQ19" i="1" s="1"/>
  <c r="AL19" i="1"/>
  <c r="AG19" i="1"/>
  <c r="AZ18" i="1"/>
  <c r="AU18" i="1"/>
  <c r="AP18" i="1"/>
  <c r="AQ18" i="1" s="1"/>
  <c r="AL18" i="1"/>
  <c r="AG18" i="1"/>
  <c r="AZ17" i="1"/>
  <c r="AU17" i="1"/>
  <c r="AP17" i="1"/>
  <c r="AQ17" i="1" s="1"/>
  <c r="AL17" i="1"/>
  <c r="AG17" i="1"/>
  <c r="AZ16" i="1"/>
  <c r="AU16" i="1"/>
  <c r="AP16" i="1"/>
  <c r="AQ16" i="1" s="1"/>
  <c r="AL16" i="1"/>
  <c r="AG16" i="1"/>
  <c r="AZ15" i="1"/>
  <c r="AU15" i="1"/>
  <c r="AP15" i="1"/>
  <c r="AQ15" i="1" s="1"/>
  <c r="AL15" i="1"/>
  <c r="AG15" i="1"/>
  <c r="AZ14" i="1"/>
  <c r="AU14" i="1"/>
  <c r="AP14" i="1"/>
  <c r="AQ14" i="1" s="1"/>
  <c r="AL14" i="1"/>
  <c r="AG14" i="1"/>
  <c r="AZ13" i="1"/>
  <c r="AU13" i="1"/>
  <c r="AP13" i="1"/>
  <c r="AL13" i="1"/>
  <c r="AG13" i="1"/>
  <c r="AZ12" i="1"/>
  <c r="AU12" i="1"/>
  <c r="AP12" i="1"/>
  <c r="AL12" i="1"/>
  <c r="AG12" i="1"/>
  <c r="AZ11" i="1"/>
  <c r="AU11" i="1"/>
  <c r="AP11" i="1"/>
  <c r="AQ11" i="1" s="1"/>
  <c r="AL11" i="1"/>
  <c r="AG11" i="1"/>
  <c r="AZ10" i="1"/>
  <c r="AU10" i="1"/>
  <c r="AP10" i="1"/>
  <c r="AQ10" i="1" s="1"/>
  <c r="AL10" i="1"/>
  <c r="AG10" i="1"/>
  <c r="AZ9" i="1"/>
  <c r="AU9" i="1"/>
  <c r="AP9" i="1"/>
  <c r="AQ9" i="1" s="1"/>
  <c r="AL9" i="1"/>
  <c r="AG9" i="1"/>
  <c r="AZ8" i="1"/>
  <c r="AU8" i="1"/>
  <c r="AP8" i="1"/>
  <c r="AQ8" i="1" s="1"/>
  <c r="AL8" i="1"/>
  <c r="AG8" i="1"/>
  <c r="AZ7" i="1"/>
  <c r="AU7" i="1"/>
  <c r="AP7" i="1"/>
  <c r="AQ7" i="1" s="1"/>
  <c r="AL7" i="1"/>
  <c r="AG7" i="1"/>
  <c r="AZ6" i="1"/>
  <c r="AU6" i="1"/>
  <c r="AP6" i="1"/>
  <c r="AQ6" i="1" s="1"/>
  <c r="AL6" i="1"/>
  <c r="AG6" i="1"/>
  <c r="AZ5" i="1"/>
  <c r="AU5" i="1"/>
  <c r="AP5" i="1"/>
  <c r="AQ5" i="1" s="1"/>
  <c r="AL5" i="1"/>
  <c r="AG5" i="1"/>
  <c r="AZ4" i="1"/>
  <c r="AU4" i="1"/>
  <c r="AP4" i="1"/>
  <c r="AQ4" i="1" s="1"/>
  <c r="AL4" i="1"/>
  <c r="AG4" i="1"/>
  <c r="AZ3" i="1"/>
  <c r="AU3" i="1"/>
  <c r="AP3" i="1"/>
  <c r="AQ3" i="1" s="1"/>
  <c r="AL3" i="1"/>
  <c r="AG3" i="1"/>
  <c r="AZ2" i="1"/>
  <c r="AU2" i="1"/>
  <c r="AP2" i="1"/>
  <c r="AQ2" i="1" s="1"/>
  <c r="AL2" i="1"/>
  <c r="AG2" i="1"/>
</calcChain>
</file>

<file path=xl/sharedStrings.xml><?xml version="1.0" encoding="utf-8"?>
<sst xmlns="http://schemas.openxmlformats.org/spreadsheetml/2006/main" count="2791" uniqueCount="599">
  <si>
    <t>Edad</t>
  </si>
  <si>
    <t>Género</t>
  </si>
  <si>
    <t>Ama de casa</t>
  </si>
  <si>
    <t>Agricultura</t>
  </si>
  <si>
    <t>Estudiante</t>
  </si>
  <si>
    <t>Guardia</t>
  </si>
  <si>
    <t>Gobernador</t>
  </si>
  <si>
    <t>Aux. Veterinario</t>
  </si>
  <si>
    <t>Ordeñador</t>
  </si>
  <si>
    <t>Hombre</t>
  </si>
  <si>
    <t>Mujer</t>
  </si>
  <si>
    <t>derecho</t>
  </si>
  <si>
    <t>zurdo</t>
  </si>
  <si>
    <t>ambidiestro</t>
  </si>
  <si>
    <t>Estado Civil</t>
  </si>
  <si>
    <t>Soltero</t>
  </si>
  <si>
    <t>Unión libre</t>
  </si>
  <si>
    <t>Casado</t>
  </si>
  <si>
    <t>viudo</t>
  </si>
  <si>
    <t>1-2 veces a la semana</t>
  </si>
  <si>
    <t>3-5 veces a la semana</t>
  </si>
  <si>
    <t>Nunca/Casi nunca</t>
  </si>
  <si>
    <t>Todos los dias</t>
  </si>
  <si>
    <t>no</t>
  </si>
  <si>
    <t>si</t>
  </si>
  <si>
    <t>Binaria</t>
  </si>
  <si>
    <t>Variable</t>
  </si>
  <si>
    <t>categoia</t>
  </si>
  <si>
    <t>N°</t>
  </si>
  <si>
    <t>Preguntarle por sintaxis del SF 36. De donde salieron esos puntajes… porque</t>
  </si>
  <si>
    <t>cual es la referencia para los anaisis</t>
  </si>
  <si>
    <t>Ajustar el puntaje para aculturación. Establecer un puntaje estandar</t>
  </si>
  <si>
    <t>Total</t>
  </si>
  <si>
    <t>Characteristics (%)</t>
  </si>
  <si>
    <t>Masculino</t>
  </si>
  <si>
    <t>Femenino</t>
  </si>
  <si>
    <t>(N=42)</t>
  </si>
  <si>
    <t>(N=46)</t>
  </si>
  <si>
    <t>Educación</t>
  </si>
  <si>
    <t>Sin educación</t>
  </si>
  <si>
    <t>Primaria</t>
  </si>
  <si>
    <t>Secundaria</t>
  </si>
  <si>
    <t>Superior</t>
  </si>
  <si>
    <t>Ingresos Mensuales</t>
  </si>
  <si>
    <t>De $0 a $200.000</t>
  </si>
  <si>
    <t>De $200.000 a $400.000</t>
  </si>
  <si>
    <t>De $400.000 a $600.000</t>
  </si>
  <si>
    <t>De $600.000 a $800.000</t>
  </si>
  <si>
    <t>De $800.000 a $1.000.000</t>
  </si>
  <si>
    <t>Más de $1.000.000</t>
  </si>
  <si>
    <t>Ocupaciones</t>
  </si>
  <si>
    <t>Gestor Local</t>
  </si>
  <si>
    <t>Consumo de Alcohol</t>
  </si>
  <si>
    <t>Índice de Masa Corporal</t>
  </si>
  <si>
    <t xml:space="preserve">Bajo peso </t>
  </si>
  <si>
    <t>Peso Normal</t>
  </si>
  <si>
    <t>Sobrepeso</t>
  </si>
  <si>
    <t>Obesidad Grado I</t>
  </si>
  <si>
    <t>Escolaridad</t>
  </si>
  <si>
    <t>tabla 1. caracteristicas sociodemográficas de los participantes en el estudio de acuerdo al genero</t>
  </si>
  <si>
    <t>Characteristics</t>
  </si>
  <si>
    <t>Hombres</t>
  </si>
  <si>
    <t>Mujeres</t>
  </si>
  <si>
    <t>Regresión Cuantil</t>
  </si>
  <si>
    <t>justificar desde el punto de vista teorico - vulnerabilidad hombre-mujer</t>
  </si>
  <si>
    <t>Libro de metodos de neuropsicología en colombia</t>
  </si>
  <si>
    <t>* ENVIAR EL ARTICULO DE LA VALIDEZ DE LAS PRUEBAS.</t>
  </si>
  <si>
    <t>agricultura</t>
  </si>
  <si>
    <t>Artesania</t>
  </si>
  <si>
    <t xml:space="preserve">Profesor </t>
  </si>
  <si>
    <t>Constructor</t>
  </si>
  <si>
    <t>Lateralidad</t>
  </si>
  <si>
    <t>Consumo alcohol</t>
  </si>
  <si>
    <t>IMC</t>
  </si>
  <si>
    <t>Trab</t>
  </si>
  <si>
    <t>SF-36</t>
  </si>
  <si>
    <t>PFE</t>
  </si>
  <si>
    <t>Zmem</t>
  </si>
  <si>
    <t>Zlen</t>
  </si>
  <si>
    <t>ZFE</t>
  </si>
  <si>
    <t>Zate</t>
  </si>
  <si>
    <t>Educ</t>
  </si>
  <si>
    <t>Late</t>
  </si>
  <si>
    <t>Esta</t>
  </si>
  <si>
    <t>Ingr</t>
  </si>
  <si>
    <t>Consumo</t>
  </si>
  <si>
    <t>Inter</t>
  </si>
  <si>
    <t>acul</t>
  </si>
  <si>
    <t>ocup</t>
  </si>
  <si>
    <t>Pmemo</t>
  </si>
  <si>
    <t>Pleng</t>
  </si>
  <si>
    <t>Paten</t>
  </si>
  <si>
    <t>STROOP P</t>
  </si>
  <si>
    <t>STROOP C</t>
  </si>
  <si>
    <t>STROOP PC</t>
  </si>
  <si>
    <t>INTERFERENCIA</t>
  </si>
  <si>
    <t>M-WCST Errores</t>
  </si>
  <si>
    <t>M-WCST total Errores</t>
  </si>
  <si>
    <t>BTA-N</t>
  </si>
  <si>
    <t>BTA-L</t>
  </si>
  <si>
    <t>SDMT</t>
  </si>
  <si>
    <t>Errores</t>
  </si>
  <si>
    <t>FLUIDEZ VERBAL M</t>
  </si>
  <si>
    <t>FLUIDEZ VERBAL R</t>
  </si>
  <si>
    <t>FLUIDEZ VERBAL P</t>
  </si>
  <si>
    <t>FLUIDEZ SEMANTICA ANIMALES</t>
  </si>
  <si>
    <t>FLUIDEZ SEMANTICA FRUTAS</t>
  </si>
  <si>
    <t>ReyC</t>
  </si>
  <si>
    <t>ReyM</t>
  </si>
  <si>
    <t>HLVRT1</t>
  </si>
  <si>
    <t>HLVRT2</t>
  </si>
  <si>
    <t>HLVRT3</t>
  </si>
  <si>
    <t>Rec_Total</t>
  </si>
  <si>
    <t>HLVRT-ET</t>
  </si>
  <si>
    <t>Rec_correc</t>
  </si>
  <si>
    <t>HLVRT_FPRS</t>
  </si>
  <si>
    <t>HLVRT_FPnoRS</t>
  </si>
  <si>
    <t xml:space="preserve">HLVRT ERROR </t>
  </si>
  <si>
    <t>STROOP PCc</t>
  </si>
  <si>
    <t>M-WCST Categorías</t>
  </si>
  <si>
    <t>M-WCST P</t>
  </si>
  <si>
    <t>TMT A Tiempo</t>
  </si>
  <si>
    <t>TMT B Tiempo</t>
  </si>
  <si>
    <t>Aculturacion</t>
  </si>
  <si>
    <t>Internet</t>
  </si>
  <si>
    <t>Ingresos</t>
  </si>
  <si>
    <t>Estado_C</t>
  </si>
  <si>
    <t>Later</t>
  </si>
  <si>
    <t>Ocup</t>
  </si>
  <si>
    <t>Reconocimiento_correc</t>
  </si>
  <si>
    <t>Rec_Inmediato</t>
  </si>
  <si>
    <t>Edad (años)</t>
  </si>
  <si>
    <t>Derecho/a</t>
  </si>
  <si>
    <t>Trabajos por fuera de la comunidad</t>
  </si>
  <si>
    <t xml:space="preserve">Si </t>
  </si>
  <si>
    <t>No</t>
  </si>
  <si>
    <t>Servicio de Internet</t>
  </si>
  <si>
    <t>Muy Baja</t>
  </si>
  <si>
    <t>Baja</t>
  </si>
  <si>
    <t>Alta</t>
  </si>
  <si>
    <t>Sin Educación</t>
  </si>
  <si>
    <t>%</t>
  </si>
  <si>
    <t>Test de Rey</t>
  </si>
  <si>
    <t>Rey Copia</t>
  </si>
  <si>
    <t>Rey Memoria</t>
  </si>
  <si>
    <t>Test de Hopking (HLVRT-R)</t>
  </si>
  <si>
    <t>Muy Alta</t>
  </si>
  <si>
    <t>Aculturación Rec</t>
  </si>
  <si>
    <t>"1-2</t>
  </si>
  <si>
    <t>"2-3</t>
  </si>
  <si>
    <t>.</t>
  </si>
  <si>
    <t>"3-4</t>
  </si>
  <si>
    <t>"4-5</t>
  </si>
  <si>
    <t>Descriptivos</t>
  </si>
  <si>
    <t xml:space="preserve">ReyC </t>
  </si>
  <si>
    <t>N</t>
  </si>
  <si>
    <t>Media</t>
  </si>
  <si>
    <t>Desv. Desviación</t>
  </si>
  <si>
    <t>Desv. Error</t>
  </si>
  <si>
    <t>95% del intervalo de confianza para la media</t>
  </si>
  <si>
    <t>Mínimo</t>
  </si>
  <si>
    <t>Máximo</t>
  </si>
  <si>
    <t>Límite inferior</t>
  </si>
  <si>
    <t>Límite superior</t>
  </si>
  <si>
    <t>Ocup_Rec</t>
  </si>
  <si>
    <t>Lideres</t>
  </si>
  <si>
    <t>Artesanias</t>
  </si>
  <si>
    <t>de $0 a $200.000</t>
  </si>
  <si>
    <t>de $200.000 a $400.000</t>
  </si>
  <si>
    <t>de $400.00 a $600.000</t>
  </si>
  <si>
    <t>de $800.000 a $1.000.000</t>
  </si>
  <si>
    <t>mas de $1.000.000</t>
  </si>
  <si>
    <t>de 18 años a 24 años</t>
  </si>
  <si>
    <t>de 25 años a 29 años</t>
  </si>
  <si>
    <t>de 30 años a 34 años</t>
  </si>
  <si>
    <t>de 35 años a 39 años</t>
  </si>
  <si>
    <t>de 40 años a 44 años</t>
  </si>
  <si>
    <t>de 45 años a 49 años</t>
  </si>
  <si>
    <t>de 55 años a 59 años</t>
  </si>
  <si>
    <t>mas de 64 años</t>
  </si>
  <si>
    <t>de 60 años a 64 años</t>
  </si>
  <si>
    <t>Ocupacion</t>
  </si>
  <si>
    <t>Uniòn libre</t>
  </si>
  <si>
    <t>Casadp</t>
  </si>
  <si>
    <t xml:space="preserve">ReyM </t>
  </si>
  <si>
    <t xml:space="preserve">Rec_Inmediato </t>
  </si>
  <si>
    <t xml:space="preserve">HLVRT-ET </t>
  </si>
  <si>
    <t xml:space="preserve">Reconocimiento_correc </t>
  </si>
  <si>
    <t>±</t>
  </si>
  <si>
    <t>¾</t>
  </si>
  <si>
    <t>Ocupación</t>
  </si>
  <si>
    <t>P=Value</t>
  </si>
  <si>
    <t>Prueba de Kolmogorov-Smirnov para una muestra</t>
  </si>
  <si>
    <t>Ingresos_Rec</t>
  </si>
  <si>
    <t>Educa_Rec</t>
  </si>
  <si>
    <t>Edad_Rec</t>
  </si>
  <si>
    <t>,000c</t>
  </si>
  <si>
    <t>,010c</t>
  </si>
  <si>
    <t>a La distribución de prueba es normal.</t>
  </si>
  <si>
    <t>b Se calcula a partir de datos.</t>
  </si>
  <si>
    <t>c Corrección de significación de Lilliefors.</t>
  </si>
  <si>
    <t>No hay normalidad en los datos</t>
  </si>
  <si>
    <t>PrUEBA DE COMPARACIÒN DE GRUPOS CON KRUSKALL WALLIS</t>
  </si>
  <si>
    <t>Estadísticos de pruebaa,b</t>
  </si>
  <si>
    <t>H de Kruskal-Wallis</t>
  </si>
  <si>
    <t>gl</t>
  </si>
  <si>
    <t>Sig. asintótica</t>
  </si>
  <si>
    <t>a Prueba de Kruskal Wallis</t>
  </si>
  <si>
    <t>b Variable de agrupación: Ingresos_Rec</t>
  </si>
  <si>
    <t>b Variable de agrupación: Educa_Rec</t>
  </si>
  <si>
    <t>INGRESOS</t>
  </si>
  <si>
    <t>EDUCACIÒN</t>
  </si>
  <si>
    <t>b Variable de agrupación: Edad_Rec</t>
  </si>
  <si>
    <t>b Variable de agrupación: Ocup_Rec</t>
  </si>
  <si>
    <t>EDAD</t>
  </si>
  <si>
    <t>OCUPACION</t>
  </si>
  <si>
    <t>b Variable de agrupación: Estado_C</t>
  </si>
  <si>
    <t>ESTADO CIVIL</t>
  </si>
  <si>
    <t>b Variable de agrupación: Consumo</t>
  </si>
  <si>
    <t>CONSUMO</t>
  </si>
  <si>
    <t>EDUCACION</t>
  </si>
  <si>
    <t>OCUPACIONES</t>
  </si>
  <si>
    <t>ESTADO</t>
  </si>
  <si>
    <t>p=0,992</t>
  </si>
  <si>
    <t>p=0,209</t>
  </si>
  <si>
    <t>p=0.111</t>
  </si>
  <si>
    <t>p=0,181</t>
  </si>
  <si>
    <t>p=0,074</t>
  </si>
  <si>
    <t>p=0,035</t>
  </si>
  <si>
    <t>p=0,033</t>
  </si>
  <si>
    <t>p=0,00</t>
  </si>
  <si>
    <t>p=0,686</t>
  </si>
  <si>
    <t>p=0,815</t>
  </si>
  <si>
    <t>p=0,991</t>
  </si>
  <si>
    <t>p=0,58</t>
  </si>
  <si>
    <t>p=0,436</t>
  </si>
  <si>
    <t>p=0,7</t>
  </si>
  <si>
    <t>p=0,148</t>
  </si>
  <si>
    <t>p=0,149</t>
  </si>
  <si>
    <t>p=0,771</t>
  </si>
  <si>
    <t>p= 0,365</t>
  </si>
  <si>
    <t>p=0,068</t>
  </si>
  <si>
    <t>p=0,509</t>
  </si>
  <si>
    <t>p=0,247</t>
  </si>
  <si>
    <t>p=0,507</t>
  </si>
  <si>
    <t>p=0,323</t>
  </si>
  <si>
    <t>p=0,026</t>
  </si>
  <si>
    <t>p=0,006</t>
  </si>
  <si>
    <t>p=0,021</t>
  </si>
  <si>
    <t>p=0,56</t>
  </si>
  <si>
    <t>p=0,017</t>
  </si>
  <si>
    <t>p=0,64</t>
  </si>
  <si>
    <t>p=0,724</t>
  </si>
  <si>
    <t>p=0,221</t>
  </si>
  <si>
    <t>p=0,546</t>
  </si>
  <si>
    <t>p=0,754</t>
  </si>
  <si>
    <t>p=0,514</t>
  </si>
  <si>
    <t>p=0,702</t>
  </si>
  <si>
    <t>p=0,958</t>
  </si>
  <si>
    <t>p=0,282</t>
  </si>
  <si>
    <t>p=0,057</t>
  </si>
  <si>
    <t>p=0,402</t>
  </si>
  <si>
    <t>p=0,207</t>
  </si>
  <si>
    <t>p=0,191</t>
  </si>
  <si>
    <t>p=0,79</t>
  </si>
  <si>
    <t>p=0,416</t>
  </si>
  <si>
    <t>Tabla 3Niveles de Aculturación (OE. 2)</t>
  </si>
  <si>
    <t>Aculturación</t>
  </si>
  <si>
    <t/>
  </si>
  <si>
    <t>Estimate</t>
  </si>
  <si>
    <t>Std. Error</t>
  </si>
  <si>
    <t>t value</t>
  </si>
  <si>
    <t>Pr(&gt;|t|)</t>
  </si>
  <si>
    <t>(Intercept)</t>
  </si>
  <si>
    <t>Modelo REY C</t>
  </si>
  <si>
    <t>a. Variable dependiente: Rey copia</t>
  </si>
  <si>
    <t>Modelo REY M</t>
  </si>
  <si>
    <t>a. Variable dependiente: Rey Memoria</t>
  </si>
  <si>
    <t>Modelo Recuerdo Inmediato</t>
  </si>
  <si>
    <t>a. Variable dependiente: Recuerdo inmedianto</t>
  </si>
  <si>
    <t>Modelo Evocacion Tardia</t>
  </si>
  <si>
    <t>a. Variable dependiente: Evocación tardía</t>
  </si>
  <si>
    <t>Modelo Recuerdo total correctas</t>
  </si>
  <si>
    <t>a. Variable dependiente: Recuerdo total correctas</t>
  </si>
  <si>
    <t>Trabajos por fuera</t>
  </si>
  <si>
    <t>Servicio de internet</t>
  </si>
  <si>
    <t>Adjusted R-squared</t>
  </si>
  <si>
    <t xml:space="preserve"> 0.34</t>
  </si>
  <si>
    <t>Multiple R-squared</t>
  </si>
  <si>
    <t>0.431</t>
  </si>
  <si>
    <t>Multiple R-squared:  0.3588,</t>
  </si>
  <si>
    <t xml:space="preserve">Adjusted R-squared:  0.3279 </t>
  </si>
  <si>
    <t>Multiple R-squared:  0.4948,</t>
  </si>
  <si>
    <t xml:space="preserve">Adjusted R-squared:  0.414 </t>
  </si>
  <si>
    <t>Multiple R-squared:  0.4329,</t>
  </si>
  <si>
    <t>Adjusted R-squared:  0.4055</t>
  </si>
  <si>
    <t>Multiple R-squared:  0.381,</t>
  </si>
  <si>
    <t xml:space="preserve">Adjusted R-squared:  0.2819 </t>
  </si>
  <si>
    <t>Multiple R-squared:  0.2779,</t>
  </si>
  <si>
    <t xml:space="preserve">Adjusted R-squared:  0.2431 </t>
  </si>
  <si>
    <t>Multiple R-squared:  0.3896,</t>
  </si>
  <si>
    <t>Adjusted R-squared:  0.2919</t>
  </si>
  <si>
    <t>Multiple R-squared:  0.2599,</t>
  </si>
  <si>
    <t>Adjusted R-squared:  0.2242</t>
  </si>
  <si>
    <t>Multiple R-squared:  0.2551,</t>
  </si>
  <si>
    <t xml:space="preserve">Adjusted R-squared:  0.1359 </t>
  </si>
  <si>
    <t>Multiple R-squared:  0.1231,</t>
  </si>
  <si>
    <t>Adjusted R-squared:  0.0808</t>
  </si>
  <si>
    <t>trabajar con promedios</t>
  </si>
  <si>
    <t>buscar como sacar intervalos de confianza en las regresiones</t>
  </si>
  <si>
    <t xml:space="preserve">Caracteristicas </t>
  </si>
  <si>
    <t>Bivariado</t>
  </si>
  <si>
    <t>Multivariado</t>
  </si>
  <si>
    <t>lideres</t>
  </si>
  <si>
    <t>artesania</t>
  </si>
  <si>
    <t>Union_libre</t>
  </si>
  <si>
    <t>casado</t>
  </si>
  <si>
    <t>Ocupación agricultura</t>
  </si>
  <si>
    <t>Ocupación artesania</t>
  </si>
  <si>
    <t>Ocupación lider</t>
  </si>
  <si>
    <t>Recuerdo Inmediato</t>
  </si>
  <si>
    <t>HLVRT-Evocación tardia</t>
  </si>
  <si>
    <t>1</t>
  </si>
  <si>
    <t>3</t>
  </si>
  <si>
    <t>4</t>
  </si>
  <si>
    <t>2</t>
  </si>
  <si>
    <t>0</t>
  </si>
  <si>
    <t>a. Prueba de Kruskal Wallis</t>
  </si>
  <si>
    <t>b. Variable de agrupación: Ingresos_Rec</t>
  </si>
  <si>
    <r>
      <t>Estadísticos de prueba</t>
    </r>
    <r>
      <rPr>
        <b/>
        <vertAlign val="superscript"/>
        <sz val="11"/>
        <color indexed="60"/>
        <rFont val="Arial Bold"/>
      </rPr>
      <t>a,b</t>
    </r>
  </si>
  <si>
    <t>b. Variable de agrupación: Educa_Rec</t>
  </si>
  <si>
    <t>b. Variable de agrupación: Edad_Rec</t>
  </si>
  <si>
    <t>b. Variable de agrupación: Ocup_Rec</t>
  </si>
  <si>
    <t>b. Variable de agrupación: Later</t>
  </si>
  <si>
    <t>estado civil</t>
  </si>
  <si>
    <t>b. Variable de agrupación: Estado_C</t>
  </si>
  <si>
    <t>consumo</t>
  </si>
  <si>
    <t>lateralidad</t>
  </si>
  <si>
    <t>b. Variable de agrupación: Consumo</t>
  </si>
  <si>
    <t>edad</t>
  </si>
  <si>
    <t>ingresos</t>
  </si>
  <si>
    <t>educacion</t>
  </si>
  <si>
    <t>ocupacion</t>
  </si>
  <si>
    <t>p=0,260</t>
  </si>
  <si>
    <t>p=0,0006</t>
  </si>
  <si>
    <t>p=0,0003</t>
  </si>
  <si>
    <t>P=0,173</t>
  </si>
  <si>
    <t>P=0,403</t>
  </si>
  <si>
    <t>p=0,521</t>
  </si>
  <si>
    <t>p=0,3</t>
  </si>
  <si>
    <t>p=0,250</t>
  </si>
  <si>
    <t>Tabla 4. Asociación entre aprendizaje y memoria y Aculturación de acuerdo a variables sociodemográficas</t>
  </si>
  <si>
    <t>tabla 2. Medias y desviaciones estándar de las puntuaciones de aprendizaje y memoria, estratificadas por sexo, según datos sociodemográficos (OE. 1)</t>
  </si>
  <si>
    <t>18 a 29</t>
  </si>
  <si>
    <t>30 a 39</t>
  </si>
  <si>
    <t>40 a 49</t>
  </si>
  <si>
    <t>50 a 59</t>
  </si>
  <si>
    <t>más de 60</t>
  </si>
  <si>
    <t>de 18 a 29 años</t>
  </si>
  <si>
    <t>de 30 a 39 años</t>
  </si>
  <si>
    <t>de 40 a 49 años</t>
  </si>
  <si>
    <t>de 50 a 59 años</t>
  </si>
  <si>
    <t>más de 60 años</t>
  </si>
  <si>
    <t xml:space="preserve">B </t>
  </si>
  <si>
    <t>Conf</t>
  </si>
  <si>
    <t>plausibilidad biologica para variables confusoras</t>
  </si>
  <si>
    <t>Rey Copia /atención</t>
  </si>
  <si>
    <t>[-0.00, -0.00]</t>
  </si>
  <si>
    <t>0.03</t>
  </si>
  <si>
    <t>-0.00*</t>
  </si>
  <si>
    <t>-0.05</t>
  </si>
  <si>
    <t>0.04</t>
  </si>
  <si>
    <t>0.17</t>
  </si>
  <si>
    <t>[-0.00, 0.00]</t>
  </si>
  <si>
    <t>[-0.02, 0.10]</t>
  </si>
  <si>
    <t>[-0.01, 0.07]</t>
  </si>
  <si>
    <t>(-0.24, -0.09)</t>
  </si>
  <si>
    <t>(13,17, 15,92)</t>
  </si>
  <si>
    <t>(0.34, 0.75)</t>
  </si>
  <si>
    <t>(-5.58, 0.28)</t>
  </si>
  <si>
    <t>(-5.58, -0.52)</t>
  </si>
  <si>
    <t>(-5.99, 1.74)</t>
  </si>
  <si>
    <t>(-0.00, -0.00)</t>
  </si>
  <si>
    <t>(-0.10, -0.02)</t>
  </si>
  <si>
    <t>(-0.81, 1.23)</t>
  </si>
  <si>
    <t>(0.17, 0.38)</t>
  </si>
  <si>
    <t>(-2.31, 0.71)</t>
  </si>
  <si>
    <t>(-2.38, 0.23)</t>
  </si>
  <si>
    <t>(-3.04, 0.94)</t>
  </si>
  <si>
    <t>(-0.05, 0.002)</t>
  </si>
  <si>
    <t>(-0.41, 0.86)</t>
  </si>
  <si>
    <t>(0.04, 0.19)</t>
  </si>
  <si>
    <t>(-0.85, 1.05)</t>
  </si>
  <si>
    <t>(-1.24, 0.39)</t>
  </si>
  <si>
    <t>(-1.15, 1.35)</t>
  </si>
  <si>
    <t>(-2.20, 1.33)</t>
  </si>
  <si>
    <t>(-0.25, 6.98)</t>
  </si>
  <si>
    <t>(0.77, 1.49)</t>
  </si>
  <si>
    <t>(-9.07, 1.67)</t>
  </si>
  <si>
    <t>(-5.35, 3.95)</t>
  </si>
  <si>
    <t>(-3.05, 1.12)</t>
  </si>
  <si>
    <t>Reconocimiento correctas</t>
  </si>
  <si>
    <t>Más de una vez por semana</t>
  </si>
  <si>
    <t>Sin pareja</t>
  </si>
  <si>
    <t>Con pareja</t>
  </si>
  <si>
    <t>no derecho</t>
  </si>
  <si>
    <t>[-0.21, 0.12]</t>
  </si>
  <si>
    <t>[-2.60, 5.83]</t>
  </si>
  <si>
    <t>[0.15, 1.46]</t>
  </si>
  <si>
    <t>[-8.23, 3.73]</t>
  </si>
  <si>
    <t>[-3.73, 5.56]</t>
  </si>
  <si>
    <t>[-2.21, 12.02]</t>
  </si>
  <si>
    <t>[-3.53, 9.10]</t>
  </si>
  <si>
    <t>[-1.42, 5.67]</t>
  </si>
  <si>
    <t>[-8.36, -0.92]</t>
  </si>
  <si>
    <t>[-0.44, 0.74]</t>
  </si>
  <si>
    <t>[-5.94, 3.23]</t>
  </si>
  <si>
    <t>[-8.41, 5.42]</t>
  </si>
  <si>
    <t>[0.06, 0.45]</t>
  </si>
  <si>
    <t>1.62</t>
  </si>
  <si>
    <t>0.80*</t>
  </si>
  <si>
    <t>-2.25</t>
  </si>
  <si>
    <t>0.92</t>
  </si>
  <si>
    <t>4.90</t>
  </si>
  <si>
    <t>2.78</t>
  </si>
  <si>
    <t>2.12</t>
  </si>
  <si>
    <t>-4.64*</t>
  </si>
  <si>
    <t>0.15</t>
  </si>
  <si>
    <t>-1.35</t>
  </si>
  <si>
    <t>-1.50</t>
  </si>
  <si>
    <t>0.26*</t>
  </si>
  <si>
    <t>0.05</t>
  </si>
  <si>
    <t>1.72</t>
  </si>
  <si>
    <t>1.36**</t>
  </si>
  <si>
    <t>-3.94</t>
  </si>
  <si>
    <t>1.23</t>
  </si>
  <si>
    <t>3.97</t>
  </si>
  <si>
    <t>3.06</t>
  </si>
  <si>
    <t>0.65</t>
  </si>
  <si>
    <t>-2.85</t>
  </si>
  <si>
    <t>-0.01</t>
  </si>
  <si>
    <t>0.32</t>
  </si>
  <si>
    <t>-1.43</t>
  </si>
  <si>
    <t>0.18</t>
  </si>
  <si>
    <t>[-0.11, 0.20]</t>
  </si>
  <si>
    <t>[-2.23, 5.67]</t>
  </si>
  <si>
    <t>[0.74, 1.97]</t>
  </si>
  <si>
    <t>[-9.53, 1.66]</t>
  </si>
  <si>
    <t>[-3.11, 5.58]</t>
  </si>
  <si>
    <t>[-2.69, 10.62]</t>
  </si>
  <si>
    <t>[-2.85, 8.97]</t>
  </si>
  <si>
    <t>[-2.67, 3.96]</t>
  </si>
  <si>
    <t>[-6.34, 0.63]</t>
  </si>
  <si>
    <t>[-0.57, 0.54]</t>
  </si>
  <si>
    <t>[-3.97, 4.61]</t>
  </si>
  <si>
    <t>[-7.90, 5.03]</t>
  </si>
  <si>
    <t>[-0.00, 0.37]</t>
  </si>
  <si>
    <t>-0.11*</t>
  </si>
  <si>
    <t>-0.41</t>
  </si>
  <si>
    <t>0.24</t>
  </si>
  <si>
    <t>-2.92</t>
  </si>
  <si>
    <t>-3.40*</t>
  </si>
  <si>
    <t>-3.26</t>
  </si>
  <si>
    <t>2.18</t>
  </si>
  <si>
    <t>1.48</t>
  </si>
  <si>
    <t>-0.00</t>
  </si>
  <si>
    <t>-0.67</t>
  </si>
  <si>
    <t>-2.18</t>
  </si>
  <si>
    <t>-0.82</t>
  </si>
  <si>
    <t>0.01</t>
  </si>
  <si>
    <t>[-0.21, -0.01]</t>
  </si>
  <si>
    <t>[-2.86, 2.04]</t>
  </si>
  <si>
    <t>[-0.14, 0.62]</t>
  </si>
  <si>
    <t>[-6.40, 0.56]</t>
  </si>
  <si>
    <t>[-6.11, -0.70]</t>
  </si>
  <si>
    <t>[-7.40, 0.87]</t>
  </si>
  <si>
    <t>[-1.49, 5.85]</t>
  </si>
  <si>
    <t>[-0.58, 3.54]</t>
  </si>
  <si>
    <t>[-2.83, 1.50]</t>
  </si>
  <si>
    <t>[-0.34, 0.34]</t>
  </si>
  <si>
    <t>[-4.85, 0.49]</t>
  </si>
  <si>
    <t>[-4.84, 3.20]</t>
  </si>
  <si>
    <t>[-0.10, 0.13]</t>
  </si>
  <si>
    <t>-0.02</t>
  </si>
  <si>
    <t>-0.79</t>
  </si>
  <si>
    <t>-1.44</t>
  </si>
  <si>
    <t>-1.55*</t>
  </si>
  <si>
    <t>-1.64</t>
  </si>
  <si>
    <t>0.79</t>
  </si>
  <si>
    <t>0.71</t>
  </si>
  <si>
    <t>0.00</t>
  </si>
  <si>
    <t>-0.68</t>
  </si>
  <si>
    <t>-1.03</t>
  </si>
  <si>
    <t>[-0.07, 0.03]</t>
  </si>
  <si>
    <t>[-2.05, 0.47]</t>
  </si>
  <si>
    <t>[-0.03, 0.36]</t>
  </si>
  <si>
    <t>[-3.22, 0.34]</t>
  </si>
  <si>
    <t>[-2.94, -0.17]</t>
  </si>
  <si>
    <t>[-3.76, 0.48]</t>
  </si>
  <si>
    <t>[-1.09, 2.67]</t>
  </si>
  <si>
    <t>[-0.35, 1.77]</t>
  </si>
  <si>
    <t>[-1.79, 0.43]</t>
  </si>
  <si>
    <t>[-0.16, 0.19]</t>
  </si>
  <si>
    <t>[-2.39, 0.34]</t>
  </si>
  <si>
    <t>[-3.49, 0.63]</t>
  </si>
  <si>
    <t>0.19</t>
  </si>
  <si>
    <t>0.06</t>
  </si>
  <si>
    <t>0.28</t>
  </si>
  <si>
    <t>-0.29</t>
  </si>
  <si>
    <t>0.26</t>
  </si>
  <si>
    <t>0.94</t>
  </si>
  <si>
    <t>0.31</t>
  </si>
  <si>
    <t>-0.32</t>
  </si>
  <si>
    <t>0.08</t>
  </si>
  <si>
    <t>-0.60</t>
  </si>
  <si>
    <t>[-0.04, 0.03]</t>
  </si>
  <si>
    <t>[-0.69, 1.07]</t>
  </si>
  <si>
    <t>[-0.08, 0.20]</t>
  </si>
  <si>
    <t>[-0.97, 1.53]</t>
  </si>
  <si>
    <t>[-1.26, 0.68]</t>
  </si>
  <si>
    <t>[-1.22, 1.75]</t>
  </si>
  <si>
    <t>[-0.38, 2.25]</t>
  </si>
  <si>
    <t>[-0.43, 1.05]</t>
  </si>
  <si>
    <t>[-1.09, 0.46]</t>
  </si>
  <si>
    <t>[-0.05, 0.20]</t>
  </si>
  <si>
    <t>[-1.56, 0.35]</t>
  </si>
  <si>
    <t>[-2.12, 0.76]</t>
  </si>
  <si>
    <t>-0.31**</t>
  </si>
  <si>
    <t>[-0.44, -0.17]</t>
  </si>
  <si>
    <t>3.36</t>
  </si>
  <si>
    <t>(-11.11, 3.4)</t>
  </si>
  <si>
    <t>(-2.84, 5.63)</t>
  </si>
  <si>
    <t>(-6.07, 2.68)</t>
  </si>
  <si>
    <t>(-0.77, 0.63)</t>
  </si>
  <si>
    <t>(-10.65, -3.94)</t>
  </si>
  <si>
    <t>(-0.60, 11.32)</t>
  </si>
  <si>
    <t>(0.21, 0.54)</t>
  </si>
  <si>
    <t>(-0.17, 0.52)</t>
  </si>
  <si>
    <t>(-1.07, 11.01)</t>
  </si>
  <si>
    <t>(-11.30, -4.66)</t>
  </si>
  <si>
    <t>(0.41, -0.13)</t>
  </si>
  <si>
    <t>(0.89, 8.08)</t>
  </si>
  <si>
    <t>(0.69, 1.65)</t>
  </si>
  <si>
    <t>(-11.5, -1.05)</t>
  </si>
  <si>
    <t>(-5.12, 3.97)</t>
  </si>
  <si>
    <t>(-3.12, 10.77)</t>
  </si>
  <si>
    <t>(-10.34, 4.34)</t>
  </si>
  <si>
    <t>(-4.44, 4.14)</t>
  </si>
  <si>
    <t>(-5E-06, 1E-05)</t>
  </si>
  <si>
    <t>(-4.25, 4.62)</t>
  </si>
  <si>
    <t>(-0.88, 0.54)</t>
  </si>
  <si>
    <t>(-5.08, 2.94)</t>
  </si>
  <si>
    <t>(-0.91, 3.70)</t>
  </si>
  <si>
    <t>(-2.17, 2.64)</t>
  </si>
  <si>
    <t>(-0.39, 0.38)</t>
  </si>
  <si>
    <t>(-5.98-2.34)</t>
  </si>
  <si>
    <t>(-1.04, 5.53)</t>
  </si>
  <si>
    <t>(-0.05, 0.24)</t>
  </si>
  <si>
    <t>(-2.52, 1.52)</t>
  </si>
  <si>
    <t>(-0.52, 1.82)</t>
  </si>
  <si>
    <t>(-1.19, 1.23)</t>
  </si>
  <si>
    <t>(-0.16, 0.23)</t>
  </si>
  <si>
    <t>(-2.96, -1.10)</t>
  </si>
  <si>
    <t>(-1.25, 2.14)</t>
  </si>
  <si>
    <t>(-0.04, 0.14)</t>
  </si>
  <si>
    <t>(-0,42, 1.05)</t>
  </si>
  <si>
    <t>(-0.68, 0,84)</t>
  </si>
  <si>
    <t>(-0.04, 0,19)</t>
  </si>
  <si>
    <t>(-1.50, -0,28)</t>
  </si>
  <si>
    <t>(-0.89, 1.21)</t>
  </si>
  <si>
    <t>(-0.01, 0.07)</t>
  </si>
  <si>
    <t>con pareja</t>
  </si>
  <si>
    <t>Nunca</t>
  </si>
  <si>
    <t>mas de 1 vez por semana</t>
  </si>
  <si>
    <t>sin pareja</t>
  </si>
  <si>
    <t>p=0,951</t>
  </si>
  <si>
    <t>p=0,912</t>
  </si>
  <si>
    <t>p=0,914</t>
  </si>
  <si>
    <t>p=0,926</t>
  </si>
  <si>
    <t>p=0,170</t>
  </si>
  <si>
    <t>p=0,877</t>
  </si>
  <si>
    <t>p=0,080</t>
  </si>
  <si>
    <t>p=0,539</t>
  </si>
  <si>
    <t>p=0,712</t>
  </si>
  <si>
    <t>p=0,920</t>
  </si>
  <si>
    <t>p=0,547</t>
  </si>
  <si>
    <t>p=0,426</t>
  </si>
  <si>
    <t>p=0,481</t>
  </si>
  <si>
    <t>p=0,192</t>
  </si>
  <si>
    <t>p=0,990</t>
  </si>
  <si>
    <t>p=0,424</t>
  </si>
  <si>
    <t>redes sociales</t>
  </si>
  <si>
    <t>trabajos colegio</t>
  </si>
  <si>
    <t>videojuegos</t>
  </si>
  <si>
    <t>pornografía</t>
  </si>
  <si>
    <t>(3+-0,5)</t>
  </si>
  <si>
    <t>(1+-0,3)</t>
  </si>
  <si>
    <t>(4+-1)</t>
  </si>
  <si>
    <t>(1+-0,2)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</si>
</sst>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%"/>
    <numFmt numFmtId="166" formatCode="0.0"/>
    <numFmt numFmtId="167" formatCode="#,##0.000"/>
    <numFmt numFmtId="168" formatCode="0.0000"/>
    <numFmt numFmtId="169" formatCode="0E+00"/>
    <numFmt numFmtId="170" formatCode="###0"/>
    <numFmt numFmtId="171" formatCode="###0.00"/>
    <numFmt numFmtId="172" formatCode="###0.0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 Light"/>
      <family val="2"/>
    </font>
    <font>
      <b/>
      <sz val="11"/>
      <color rgb="FF000000"/>
      <name val="Calibri Light"/>
      <family val="2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ymbol"/>
      <family val="1"/>
      <charset val="2"/>
    </font>
    <font>
      <sz val="9"/>
      <color rgb="FF000000"/>
      <name val="Calibri Light"/>
      <family val="2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rgb="FF000000"/>
      <name val="Calibri Light"/>
      <family val="2"/>
    </font>
    <font>
      <b/>
      <i/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0"/>
      <name val="Arial"/>
      <family val="2"/>
    </font>
    <font>
      <sz val="9"/>
      <color indexed="62"/>
      <name val="Arial"/>
      <family val="2"/>
    </font>
    <font>
      <b/>
      <vertAlign val="superscript"/>
      <sz val="11"/>
      <color indexed="60"/>
      <name val="Arial Bold"/>
    </font>
    <font>
      <sz val="9"/>
      <color theme="1"/>
      <name val="Arial"/>
      <family val="2"/>
    </font>
    <font>
      <sz val="9"/>
      <name val="Symbol"/>
      <family val="1"/>
      <charset val="2"/>
    </font>
    <font>
      <sz val="6"/>
      <color theme="1"/>
      <name val="Calibri"/>
      <family val="2"/>
      <scheme val="minor"/>
    </font>
    <font>
      <sz val="6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35A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152935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92">
    <xf numFmtId="0" fontId="0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/>
    <xf numFmtId="0" fontId="0" fillId="0" borderId="1" xfId="0" applyBorder="1"/>
    <xf numFmtId="1" fontId="0" fillId="0" borderId="1" xfId="0" applyNumberFormat="1" applyBorder="1"/>
    <xf numFmtId="1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10" fontId="0" fillId="0" borderId="0" xfId="1" applyNumberFormat="1" applyFont="1"/>
    <xf numFmtId="9" fontId="0" fillId="0" borderId="0" xfId="1" applyNumberFormat="1" applyFont="1"/>
    <xf numFmtId="2" fontId="5" fillId="5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6" fillId="6" borderId="1" xfId="0" applyNumberFormat="1" applyFont="1" applyFill="1" applyBorder="1"/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3" xfId="0" applyBorder="1"/>
    <xf numFmtId="0" fontId="0" fillId="0" borderId="0" xfId="0" applyBorder="1"/>
    <xf numFmtId="0" fontId="12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/>
    <xf numFmtId="2" fontId="0" fillId="0" borderId="1" xfId="0" applyNumberFormat="1" applyBorder="1"/>
    <xf numFmtId="164" fontId="0" fillId="0" borderId="1" xfId="0" applyNumberFormat="1" applyBorder="1"/>
    <xf numFmtId="1" fontId="0" fillId="4" borderId="1" xfId="0" applyNumberFormat="1" applyFill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5" fillId="0" borderId="1" xfId="0" applyFont="1" applyBorder="1"/>
    <xf numFmtId="2" fontId="15" fillId="0" borderId="1" xfId="0" applyNumberFormat="1" applyFont="1" applyBorder="1"/>
    <xf numFmtId="0" fontId="3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165" fontId="7" fillId="0" borderId="0" xfId="1" applyNumberFormat="1" applyFont="1" applyFill="1" applyAlignment="1">
      <alignment horizontal="center" vertical="center" wrapText="1"/>
    </xf>
    <xf numFmtId="0" fontId="0" fillId="0" borderId="0" xfId="0" applyBorder="1" applyAlignment="1">
      <alignment horizontal="center"/>
    </xf>
    <xf numFmtId="165" fontId="0" fillId="0" borderId="0" xfId="0" applyNumberFormat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5" fontId="7" fillId="0" borderId="3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65" fontId="7" fillId="0" borderId="0" xfId="1" applyNumberFormat="1" applyFont="1" applyAlignment="1">
      <alignment horizontal="center" vertical="center" wrapText="1"/>
    </xf>
    <xf numFmtId="2" fontId="0" fillId="0" borderId="1" xfId="0" applyNumberFormat="1" applyFill="1" applyBorder="1"/>
    <xf numFmtId="0" fontId="15" fillId="0" borderId="0" xfId="0" applyFont="1" applyFill="1" applyBorder="1"/>
    <xf numFmtId="9" fontId="0" fillId="0" borderId="0" xfId="0" applyNumberFormat="1"/>
    <xf numFmtId="0" fontId="0" fillId="0" borderId="5" xfId="0" applyFill="1" applyBorder="1" applyAlignment="1"/>
    <xf numFmtId="0" fontId="0" fillId="0" borderId="5" xfId="0" applyFill="1" applyBorder="1"/>
    <xf numFmtId="0" fontId="0" fillId="0" borderId="0" xfId="0" applyFill="1" applyBorder="1" applyAlignment="1"/>
    <xf numFmtId="1" fontId="0" fillId="0" borderId="0" xfId="0" applyNumberFormat="1" applyBorder="1"/>
    <xf numFmtId="0" fontId="0" fillId="0" borderId="0" xfId="0"/>
    <xf numFmtId="0" fontId="0" fillId="0" borderId="0" xfId="0"/>
    <xf numFmtId="0" fontId="0" fillId="0" borderId="1" xfId="0" applyFill="1" applyBorder="1"/>
    <xf numFmtId="1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0" fillId="14" borderId="0" xfId="0" applyFill="1"/>
    <xf numFmtId="0" fontId="0" fillId="0" borderId="0" xfId="0" applyBorder="1" applyAlignment="1">
      <alignment horizontal="left"/>
    </xf>
    <xf numFmtId="0" fontId="0" fillId="15" borderId="0" xfId="0" applyFill="1"/>
    <xf numFmtId="0" fontId="8" fillId="0" borderId="0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vertical="center"/>
    </xf>
    <xf numFmtId="166" fontId="16" fillId="0" borderId="0" xfId="0" quotePrefix="1" applyNumberFormat="1" applyFont="1" applyAlignment="1">
      <alignment vertical="center"/>
    </xf>
    <xf numFmtId="0" fontId="16" fillId="0" borderId="0" xfId="0" quotePrefix="1" applyFont="1" applyBorder="1" applyAlignment="1">
      <alignment vertical="center"/>
    </xf>
    <xf numFmtId="2" fontId="16" fillId="0" borderId="0" xfId="0" quotePrefix="1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7" fillId="0" borderId="0" xfId="0" applyFont="1" applyAlignment="1">
      <alignment horizontal="justify" vertical="center" wrapText="1"/>
    </xf>
    <xf numFmtId="2" fontId="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 wrapText="1"/>
    </xf>
    <xf numFmtId="166" fontId="20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23" fillId="0" borderId="0" xfId="0" quotePrefix="1" applyFont="1" applyAlignment="1">
      <alignment vertical="center"/>
    </xf>
    <xf numFmtId="166" fontId="23" fillId="0" borderId="0" xfId="0" quotePrefix="1" applyNumberFormat="1" applyFont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23" fillId="0" borderId="0" xfId="0" quotePrefix="1" applyFont="1" applyBorder="1" applyAlignment="1">
      <alignment vertical="center"/>
    </xf>
    <xf numFmtId="2" fontId="17" fillId="0" borderId="0" xfId="0" applyNumberFormat="1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2" fontId="2" fillId="0" borderId="3" xfId="0" applyNumberFormat="1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2" fontId="23" fillId="0" borderId="3" xfId="0" quotePrefix="1" applyNumberFormat="1" applyFont="1" applyBorder="1" applyAlignment="1">
      <alignment vertical="center"/>
    </xf>
    <xf numFmtId="0" fontId="23" fillId="0" borderId="3" xfId="0" quotePrefix="1" applyFont="1" applyBorder="1" applyAlignment="1">
      <alignment vertical="center"/>
    </xf>
    <xf numFmtId="166" fontId="23" fillId="0" borderId="3" xfId="0" quotePrefix="1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5" fontId="7" fillId="0" borderId="0" xfId="0" applyNumberFormat="1" applyFont="1" applyFill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/>
    </xf>
    <xf numFmtId="0" fontId="0" fillId="0" borderId="0" xfId="0" applyNumberFormat="1" applyBorder="1" applyAlignment="1">
      <alignment horizontal="center"/>
    </xf>
    <xf numFmtId="0" fontId="24" fillId="16" borderId="0" xfId="0" applyFont="1" applyFill="1" applyAlignment="1">
      <alignment vertical="center" wrapText="1"/>
    </xf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14" fillId="0" borderId="0" xfId="3"/>
    <xf numFmtId="0" fontId="0" fillId="0" borderId="0" xfId="0" applyAlignment="1">
      <alignment wrapText="1"/>
    </xf>
    <xf numFmtId="0" fontId="24" fillId="16" borderId="4" xfId="0" applyFont="1" applyFill="1" applyBorder="1" applyAlignment="1">
      <alignment vertical="center" wrapText="1"/>
    </xf>
    <xf numFmtId="0" fontId="14" fillId="0" borderId="4" xfId="3" applyBorder="1" applyAlignment="1">
      <alignment wrapText="1"/>
    </xf>
    <xf numFmtId="0" fontId="0" fillId="0" borderId="4" xfId="0" applyBorder="1" applyAlignment="1">
      <alignment wrapText="1"/>
    </xf>
    <xf numFmtId="0" fontId="14" fillId="0" borderId="0" xfId="3" applyBorder="1"/>
    <xf numFmtId="0" fontId="14" fillId="0" borderId="3" xfId="3" applyBorder="1"/>
    <xf numFmtId="0" fontId="24" fillId="16" borderId="3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1" fillId="0" borderId="0" xfId="0" applyFont="1" applyAlignment="1">
      <alignment vertical="center" wrapText="1"/>
    </xf>
    <xf numFmtId="0" fontId="0" fillId="0" borderId="0" xfId="0" applyBorder="1" applyAlignment="1"/>
    <xf numFmtId="0" fontId="0" fillId="0" borderId="0" xfId="0" applyAlignment="1">
      <alignment horizontal="right"/>
    </xf>
    <xf numFmtId="167" fontId="14" fillId="0" borderId="0" xfId="3" applyNumberFormat="1"/>
    <xf numFmtId="0" fontId="0" fillId="18" borderId="0" xfId="0" applyFill="1"/>
    <xf numFmtId="11" fontId="26" fillId="0" borderId="0" xfId="0" applyNumberFormat="1" applyFont="1"/>
    <xf numFmtId="0" fontId="0" fillId="0" borderId="0" xfId="0" applyAlignment="1">
      <alignment horizontal="center"/>
    </xf>
    <xf numFmtId="0" fontId="14" fillId="0" borderId="0" xfId="3" applyAlignment="1">
      <alignment wrapText="1"/>
    </xf>
    <xf numFmtId="0" fontId="14" fillId="0" borderId="0" xfId="3" applyFill="1" applyAlignment="1">
      <alignment wrapText="1"/>
    </xf>
    <xf numFmtId="0" fontId="14" fillId="0" borderId="3" xfId="3" applyBorder="1" applyAlignment="1">
      <alignment wrapText="1"/>
    </xf>
    <xf numFmtId="2" fontId="27" fillId="0" borderId="0" xfId="0" applyNumberFormat="1" applyFont="1" applyFill="1" applyAlignment="1">
      <alignment horizontal="right" vertical="center"/>
    </xf>
    <xf numFmtId="169" fontId="27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28" fillId="0" borderId="0" xfId="4"/>
    <xf numFmtId="0" fontId="31" fillId="0" borderId="13" xfId="4" applyFont="1" applyBorder="1" applyAlignment="1">
      <alignment horizontal="center" wrapText="1"/>
    </xf>
    <xf numFmtId="0" fontId="31" fillId="20" borderId="16" xfId="4" applyFont="1" applyFill="1" applyBorder="1" applyAlignment="1">
      <alignment horizontal="left" vertical="top" wrapText="1"/>
    </xf>
    <xf numFmtId="170" fontId="30" fillId="0" borderId="17" xfId="4" applyNumberFormat="1" applyFont="1" applyBorder="1" applyAlignment="1">
      <alignment horizontal="right" vertical="top"/>
    </xf>
    <xf numFmtId="171" fontId="30" fillId="0" borderId="18" xfId="4" applyNumberFormat="1" applyFont="1" applyBorder="1" applyAlignment="1">
      <alignment horizontal="right" vertical="top"/>
    </xf>
    <xf numFmtId="172" fontId="30" fillId="0" borderId="18" xfId="4" applyNumberFormat="1" applyFont="1" applyBorder="1" applyAlignment="1">
      <alignment horizontal="right" vertical="top"/>
    </xf>
    <xf numFmtId="170" fontId="30" fillId="0" borderId="18" xfId="4" applyNumberFormat="1" applyFont="1" applyBorder="1" applyAlignment="1">
      <alignment horizontal="right" vertical="top"/>
    </xf>
    <xf numFmtId="170" fontId="30" fillId="0" borderId="19" xfId="4" applyNumberFormat="1" applyFont="1" applyBorder="1" applyAlignment="1">
      <alignment horizontal="right" vertical="top"/>
    </xf>
    <xf numFmtId="0" fontId="31" fillId="20" borderId="20" xfId="4" applyFont="1" applyFill="1" applyBorder="1" applyAlignment="1">
      <alignment horizontal="left" vertical="top" wrapText="1"/>
    </xf>
    <xf numFmtId="170" fontId="30" fillId="0" borderId="21" xfId="4" applyNumberFormat="1" applyFont="1" applyBorder="1" applyAlignment="1">
      <alignment horizontal="right" vertical="top"/>
    </xf>
    <xf numFmtId="171" fontId="30" fillId="0" borderId="22" xfId="4" applyNumberFormat="1" applyFont="1" applyBorder="1" applyAlignment="1">
      <alignment horizontal="right" vertical="top"/>
    </xf>
    <xf numFmtId="172" fontId="30" fillId="0" borderId="22" xfId="4" applyNumberFormat="1" applyFont="1" applyBorder="1" applyAlignment="1">
      <alignment horizontal="right" vertical="top"/>
    </xf>
    <xf numFmtId="170" fontId="30" fillId="0" borderId="22" xfId="4" applyNumberFormat="1" applyFont="1" applyBorder="1" applyAlignment="1">
      <alignment horizontal="right" vertical="top"/>
    </xf>
    <xf numFmtId="170" fontId="30" fillId="0" borderId="23" xfId="4" applyNumberFormat="1" applyFont="1" applyBorder="1" applyAlignment="1">
      <alignment horizontal="right" vertical="top"/>
    </xf>
    <xf numFmtId="0" fontId="30" fillId="0" borderId="22" xfId="4" applyFont="1" applyBorder="1" applyAlignment="1">
      <alignment horizontal="right" vertical="top"/>
    </xf>
    <xf numFmtId="0" fontId="31" fillId="20" borderId="24" xfId="4" applyFont="1" applyFill="1" applyBorder="1" applyAlignment="1">
      <alignment horizontal="left" vertical="top" wrapText="1"/>
    </xf>
    <xf numFmtId="170" fontId="30" fillId="0" borderId="25" xfId="4" applyNumberFormat="1" applyFont="1" applyBorder="1" applyAlignment="1">
      <alignment horizontal="right" vertical="top"/>
    </xf>
    <xf numFmtId="171" fontId="30" fillId="0" borderId="26" xfId="4" applyNumberFormat="1" applyFont="1" applyBorder="1" applyAlignment="1">
      <alignment horizontal="right" vertical="top"/>
    </xf>
    <xf numFmtId="172" fontId="30" fillId="0" borderId="26" xfId="4" applyNumberFormat="1" applyFont="1" applyBorder="1" applyAlignment="1">
      <alignment horizontal="right" vertical="top"/>
    </xf>
    <xf numFmtId="170" fontId="30" fillId="0" borderId="26" xfId="4" applyNumberFormat="1" applyFont="1" applyBorder="1" applyAlignment="1">
      <alignment horizontal="right" vertical="top"/>
    </xf>
    <xf numFmtId="170" fontId="30" fillId="0" borderId="27" xfId="4" applyNumberFormat="1" applyFont="1" applyBorder="1" applyAlignment="1">
      <alignment horizontal="right" vertical="top"/>
    </xf>
    <xf numFmtId="0" fontId="31" fillId="20" borderId="28" xfId="4" applyFont="1" applyFill="1" applyBorder="1" applyAlignment="1">
      <alignment horizontal="left" vertical="top" wrapText="1"/>
    </xf>
    <xf numFmtId="170" fontId="30" fillId="0" borderId="29" xfId="4" applyNumberFormat="1" applyFont="1" applyBorder="1" applyAlignment="1">
      <alignment horizontal="right" vertical="top"/>
    </xf>
    <xf numFmtId="171" fontId="30" fillId="0" borderId="30" xfId="4" applyNumberFormat="1" applyFont="1" applyBorder="1" applyAlignment="1">
      <alignment horizontal="right" vertical="top"/>
    </xf>
    <xf numFmtId="172" fontId="30" fillId="0" borderId="30" xfId="4" applyNumberFormat="1" applyFont="1" applyBorder="1" applyAlignment="1">
      <alignment horizontal="right" vertical="top"/>
    </xf>
    <xf numFmtId="170" fontId="30" fillId="0" borderId="30" xfId="4" applyNumberFormat="1" applyFont="1" applyBorder="1" applyAlignment="1">
      <alignment horizontal="right" vertical="top"/>
    </xf>
    <xf numFmtId="170" fontId="30" fillId="0" borderId="31" xfId="4" applyNumberFormat="1" applyFont="1" applyBorder="1" applyAlignment="1">
      <alignment horizontal="right" vertical="top"/>
    </xf>
    <xf numFmtId="0" fontId="31" fillId="20" borderId="16" xfId="4" applyFont="1" applyFill="1" applyBorder="1" applyAlignment="1">
      <alignment horizontal="left" vertical="top"/>
    </xf>
    <xf numFmtId="0" fontId="31" fillId="20" borderId="20" xfId="4" applyFont="1" applyFill="1" applyBorder="1" applyAlignment="1">
      <alignment horizontal="left" vertical="top"/>
    </xf>
    <xf numFmtId="0" fontId="31" fillId="0" borderId="11" xfId="4" applyFont="1" applyBorder="1" applyAlignment="1">
      <alignment horizontal="center" wrapText="1"/>
    </xf>
    <xf numFmtId="172" fontId="30" fillId="0" borderId="16" xfId="4" applyNumberFormat="1" applyFont="1" applyBorder="1" applyAlignment="1">
      <alignment horizontal="right" vertical="top"/>
    </xf>
    <xf numFmtId="170" fontId="30" fillId="0" borderId="20" xfId="4" applyNumberFormat="1" applyFont="1" applyBorder="1" applyAlignment="1">
      <alignment horizontal="right" vertical="top"/>
    </xf>
    <xf numFmtId="172" fontId="30" fillId="0" borderId="24" xfId="4" applyNumberFormat="1" applyFont="1" applyBorder="1" applyAlignment="1">
      <alignment horizontal="right" vertical="top"/>
    </xf>
    <xf numFmtId="172" fontId="30" fillId="0" borderId="20" xfId="4" applyNumberFormat="1" applyFont="1" applyBorder="1" applyAlignment="1">
      <alignment horizontal="right" vertical="top"/>
    </xf>
    <xf numFmtId="172" fontId="30" fillId="0" borderId="28" xfId="4" applyNumberFormat="1" applyFont="1" applyBorder="1" applyAlignment="1">
      <alignment horizontal="right" vertical="top"/>
    </xf>
    <xf numFmtId="0" fontId="28" fillId="14" borderId="0" xfId="4" applyFill="1"/>
    <xf numFmtId="0" fontId="31" fillId="14" borderId="13" xfId="4" applyFont="1" applyFill="1" applyBorder="1" applyAlignment="1">
      <alignment horizontal="center" wrapText="1"/>
    </xf>
    <xf numFmtId="0" fontId="31" fillId="14" borderId="16" xfId="4" applyFont="1" applyFill="1" applyBorder="1" applyAlignment="1">
      <alignment horizontal="left" vertical="top"/>
    </xf>
    <xf numFmtId="170" fontId="30" fillId="14" borderId="17" xfId="4" applyNumberFormat="1" applyFont="1" applyFill="1" applyBorder="1" applyAlignment="1">
      <alignment horizontal="right" vertical="top"/>
    </xf>
    <xf numFmtId="171" fontId="30" fillId="14" borderId="18" xfId="4" applyNumberFormat="1" applyFont="1" applyFill="1" applyBorder="1" applyAlignment="1">
      <alignment horizontal="right" vertical="top"/>
    </xf>
    <xf numFmtId="172" fontId="30" fillId="14" borderId="18" xfId="4" applyNumberFormat="1" applyFont="1" applyFill="1" applyBorder="1" applyAlignment="1">
      <alignment horizontal="right" vertical="top"/>
    </xf>
    <xf numFmtId="170" fontId="30" fillId="14" borderId="18" xfId="4" applyNumberFormat="1" applyFont="1" applyFill="1" applyBorder="1" applyAlignment="1">
      <alignment horizontal="right" vertical="top"/>
    </xf>
    <xf numFmtId="170" fontId="30" fillId="14" borderId="19" xfId="4" applyNumberFormat="1" applyFont="1" applyFill="1" applyBorder="1" applyAlignment="1">
      <alignment horizontal="right" vertical="top"/>
    </xf>
    <xf numFmtId="0" fontId="31" fillId="14" borderId="20" xfId="4" applyFont="1" applyFill="1" applyBorder="1" applyAlignment="1">
      <alignment horizontal="left" vertical="top"/>
    </xf>
    <xf numFmtId="170" fontId="30" fillId="14" borderId="21" xfId="4" applyNumberFormat="1" applyFont="1" applyFill="1" applyBorder="1" applyAlignment="1">
      <alignment horizontal="right" vertical="top"/>
    </xf>
    <xf numFmtId="171" fontId="30" fillId="14" borderId="22" xfId="4" applyNumberFormat="1" applyFont="1" applyFill="1" applyBorder="1" applyAlignment="1">
      <alignment horizontal="right" vertical="top"/>
    </xf>
    <xf numFmtId="172" fontId="30" fillId="14" borderId="22" xfId="4" applyNumberFormat="1" applyFont="1" applyFill="1" applyBorder="1" applyAlignment="1">
      <alignment horizontal="right" vertical="top"/>
    </xf>
    <xf numFmtId="170" fontId="30" fillId="14" borderId="22" xfId="4" applyNumberFormat="1" applyFont="1" applyFill="1" applyBorder="1" applyAlignment="1">
      <alignment horizontal="right" vertical="top"/>
    </xf>
    <xf numFmtId="170" fontId="30" fillId="14" borderId="23" xfId="4" applyNumberFormat="1" applyFont="1" applyFill="1" applyBorder="1" applyAlignment="1">
      <alignment horizontal="right" vertical="top"/>
    </xf>
    <xf numFmtId="0" fontId="31" fillId="14" borderId="24" xfId="4" applyFont="1" applyFill="1" applyBorder="1" applyAlignment="1">
      <alignment horizontal="left" vertical="top" wrapText="1"/>
    </xf>
    <xf numFmtId="170" fontId="30" fillId="14" borderId="25" xfId="4" applyNumberFormat="1" applyFont="1" applyFill="1" applyBorder="1" applyAlignment="1">
      <alignment horizontal="right" vertical="top"/>
    </xf>
    <xf numFmtId="171" fontId="30" fillId="14" borderId="26" xfId="4" applyNumberFormat="1" applyFont="1" applyFill="1" applyBorder="1" applyAlignment="1">
      <alignment horizontal="right" vertical="top"/>
    </xf>
    <xf numFmtId="172" fontId="30" fillId="14" borderId="26" xfId="4" applyNumberFormat="1" applyFont="1" applyFill="1" applyBorder="1" applyAlignment="1">
      <alignment horizontal="right" vertical="top"/>
    </xf>
    <xf numFmtId="170" fontId="30" fillId="14" borderId="26" xfId="4" applyNumberFormat="1" applyFont="1" applyFill="1" applyBorder="1" applyAlignment="1">
      <alignment horizontal="right" vertical="top"/>
    </xf>
    <xf numFmtId="170" fontId="30" fillId="14" borderId="27" xfId="4" applyNumberFormat="1" applyFont="1" applyFill="1" applyBorder="1" applyAlignment="1">
      <alignment horizontal="right" vertical="top"/>
    </xf>
    <xf numFmtId="0" fontId="31" fillId="14" borderId="28" xfId="4" applyFont="1" applyFill="1" applyBorder="1" applyAlignment="1">
      <alignment horizontal="left" vertical="top" wrapText="1"/>
    </xf>
    <xf numFmtId="170" fontId="30" fillId="14" borderId="29" xfId="4" applyNumberFormat="1" applyFont="1" applyFill="1" applyBorder="1" applyAlignment="1">
      <alignment horizontal="right" vertical="top"/>
    </xf>
    <xf numFmtId="171" fontId="30" fillId="14" borderId="30" xfId="4" applyNumberFormat="1" applyFont="1" applyFill="1" applyBorder="1" applyAlignment="1">
      <alignment horizontal="right" vertical="top"/>
    </xf>
    <xf numFmtId="172" fontId="30" fillId="14" borderId="30" xfId="4" applyNumberFormat="1" applyFont="1" applyFill="1" applyBorder="1" applyAlignment="1">
      <alignment horizontal="right" vertical="top"/>
    </xf>
    <xf numFmtId="170" fontId="30" fillId="14" borderId="30" xfId="4" applyNumberFormat="1" applyFont="1" applyFill="1" applyBorder="1" applyAlignment="1">
      <alignment horizontal="right" vertical="top"/>
    </xf>
    <xf numFmtId="170" fontId="30" fillId="14" borderId="31" xfId="4" applyNumberFormat="1" applyFont="1" applyFill="1" applyBorder="1" applyAlignment="1">
      <alignment horizontal="right" vertical="top"/>
    </xf>
    <xf numFmtId="164" fontId="0" fillId="0" borderId="0" xfId="0" applyNumberFormat="1"/>
    <xf numFmtId="169" fontId="33" fillId="0" borderId="0" xfId="0" applyNumberFormat="1" applyFont="1" applyFill="1" applyAlignment="1">
      <alignment horizontal="right" vertical="center"/>
    </xf>
    <xf numFmtId="0" fontId="2" fillId="0" borderId="0" xfId="0" applyFont="1" applyBorder="1" applyAlignment="1">
      <alignment wrapText="1"/>
    </xf>
    <xf numFmtId="0" fontId="17" fillId="0" borderId="0" xfId="0" applyFont="1" applyBorder="1" applyAlignment="1">
      <alignment horizontal="justify" vertical="center" wrapText="1"/>
    </xf>
    <xf numFmtId="0" fontId="2" fillId="0" borderId="0" xfId="0" applyFont="1" applyBorder="1"/>
    <xf numFmtId="0" fontId="22" fillId="0" borderId="0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23" fillId="0" borderId="0" xfId="0" quotePrefix="1" applyFont="1" applyBorder="1" applyAlignment="1">
      <alignment horizontal="right" vertical="center"/>
    </xf>
    <xf numFmtId="0" fontId="34" fillId="0" borderId="0" xfId="0" quotePrefix="1" applyFont="1" applyBorder="1" applyAlignment="1">
      <alignment horizontal="right" vertical="center"/>
    </xf>
    <xf numFmtId="2" fontId="2" fillId="0" borderId="3" xfId="0" applyNumberFormat="1" applyFont="1" applyBorder="1" applyAlignment="1">
      <alignment horizontal="right" vertical="center"/>
    </xf>
    <xf numFmtId="0" fontId="34" fillId="0" borderId="3" xfId="0" quotePrefix="1" applyFont="1" applyBorder="1" applyAlignment="1">
      <alignment horizontal="right" vertical="center"/>
    </xf>
    <xf numFmtId="0" fontId="23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166" fontId="23" fillId="0" borderId="0" xfId="0" quotePrefix="1" applyNumberFormat="1" applyFont="1" applyBorder="1" applyAlignment="1">
      <alignment vertical="center"/>
    </xf>
    <xf numFmtId="10" fontId="7" fillId="0" borderId="0" xfId="1" applyNumberFormat="1" applyFont="1" applyFill="1" applyAlignment="1">
      <alignment horizontal="center" vertical="center" wrapText="1"/>
    </xf>
    <xf numFmtId="0" fontId="14" fillId="0" borderId="0" xfId="3" applyFill="1"/>
    <xf numFmtId="0" fontId="14" fillId="14" borderId="0" xfId="3" applyFill="1"/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2" fontId="35" fillId="0" borderId="0" xfId="0" applyNumberFormat="1" applyFont="1" applyFill="1" applyAlignment="1">
      <alignment horizontal="right" vertical="center"/>
    </xf>
    <xf numFmtId="168" fontId="35" fillId="0" borderId="0" xfId="0" applyNumberFormat="1" applyFont="1" applyFill="1" applyAlignment="1">
      <alignment horizontal="right" vertical="center"/>
    </xf>
    <xf numFmtId="164" fontId="22" fillId="0" borderId="0" xfId="0" applyNumberFormat="1" applyFont="1" applyBorder="1" applyAlignment="1">
      <alignment horizontal="center" vertical="center" wrapText="1"/>
    </xf>
    <xf numFmtId="2" fontId="35" fillId="0" borderId="0" xfId="0" applyNumberFormat="1" applyFont="1" applyFill="1" applyBorder="1" applyAlignment="1">
      <alignment horizontal="right" vertical="center"/>
    </xf>
    <xf numFmtId="2" fontId="27" fillId="0" borderId="0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vertical="center" wrapText="1"/>
    </xf>
    <xf numFmtId="164" fontId="27" fillId="0" borderId="0" xfId="0" applyNumberFormat="1" applyFont="1" applyFill="1" applyAlignment="1">
      <alignment horizontal="right" vertical="center"/>
    </xf>
    <xf numFmtId="2" fontId="35" fillId="0" borderId="3" xfId="0" applyNumberFormat="1" applyFont="1" applyFill="1" applyBorder="1" applyAlignment="1">
      <alignment horizontal="right" vertical="center"/>
    </xf>
    <xf numFmtId="2" fontId="27" fillId="0" borderId="3" xfId="0" applyNumberFormat="1" applyFont="1" applyFill="1" applyBorder="1" applyAlignment="1">
      <alignment horizontal="right" vertical="center"/>
    </xf>
    <xf numFmtId="0" fontId="36" fillId="0" borderId="0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8" fillId="0" borderId="0" xfId="0" applyFont="1" applyBorder="1" applyAlignment="1">
      <alignment horizontal="center" vertical="center" wrapText="1"/>
    </xf>
    <xf numFmtId="164" fontId="22" fillId="0" borderId="0" xfId="0" applyNumberFormat="1" applyFont="1" applyBorder="1" applyAlignment="1">
      <alignment horizontal="center" vertical="center" wrapText="1"/>
    </xf>
    <xf numFmtId="0" fontId="29" fillId="0" borderId="0" xfId="4" applyFont="1" applyBorder="1" applyAlignment="1">
      <alignment horizontal="center" vertical="center" wrapText="1"/>
    </xf>
    <xf numFmtId="0" fontId="30" fillId="19" borderId="0" xfId="4" applyFont="1" applyFill="1"/>
    <xf numFmtId="0" fontId="28" fillId="0" borderId="0" xfId="4"/>
    <xf numFmtId="0" fontId="31" fillId="0" borderId="0" xfId="4" applyFont="1" applyBorder="1" applyAlignment="1">
      <alignment horizontal="left" wrapText="1"/>
    </xf>
    <xf numFmtId="0" fontId="31" fillId="0" borderId="11" xfId="4" applyFont="1" applyBorder="1" applyAlignment="1">
      <alignment horizontal="left" wrapText="1"/>
    </xf>
    <xf numFmtId="0" fontId="31" fillId="0" borderId="8" xfId="4" applyFont="1" applyBorder="1" applyAlignment="1">
      <alignment horizontal="center" wrapText="1"/>
    </xf>
    <xf numFmtId="0" fontId="31" fillId="0" borderId="12" xfId="4" applyFont="1" applyBorder="1" applyAlignment="1">
      <alignment horizontal="center" wrapText="1"/>
    </xf>
    <xf numFmtId="0" fontId="31" fillId="0" borderId="9" xfId="4" applyFont="1" applyBorder="1" applyAlignment="1">
      <alignment horizontal="center" wrapText="1"/>
    </xf>
    <xf numFmtId="0" fontId="31" fillId="0" borderId="13" xfId="4" applyFont="1" applyBorder="1" applyAlignment="1">
      <alignment horizontal="center" wrapText="1"/>
    </xf>
    <xf numFmtId="0" fontId="31" fillId="0" borderId="10" xfId="4" applyFont="1" applyBorder="1" applyAlignment="1">
      <alignment horizontal="center" wrapText="1"/>
    </xf>
    <xf numFmtId="0" fontId="31" fillId="0" borderId="14" xfId="4" applyFont="1" applyBorder="1" applyAlignment="1">
      <alignment horizontal="center" wrapText="1"/>
    </xf>
    <xf numFmtId="0" fontId="31" fillId="20" borderId="15" xfId="4" applyFont="1" applyFill="1" applyBorder="1" applyAlignment="1">
      <alignment horizontal="left" vertical="top" wrapText="1"/>
    </xf>
    <xf numFmtId="0" fontId="31" fillId="20" borderId="20" xfId="4" applyFont="1" applyFill="1" applyBorder="1" applyAlignment="1">
      <alignment horizontal="left" vertical="top" wrapText="1"/>
    </xf>
    <xf numFmtId="0" fontId="31" fillId="20" borderId="24" xfId="4" applyFont="1" applyFill="1" applyBorder="1" applyAlignment="1">
      <alignment horizontal="left" vertical="top" wrapText="1"/>
    </xf>
    <xf numFmtId="0" fontId="31" fillId="20" borderId="28" xfId="4" applyFont="1" applyFill="1" applyBorder="1" applyAlignment="1">
      <alignment horizontal="left" vertical="top" wrapText="1"/>
    </xf>
    <xf numFmtId="0" fontId="29" fillId="14" borderId="0" xfId="4" applyFont="1" applyFill="1" applyBorder="1" applyAlignment="1">
      <alignment horizontal="center" vertical="center" wrapText="1"/>
    </xf>
    <xf numFmtId="0" fontId="30" fillId="14" borderId="0" xfId="4" applyFont="1" applyFill="1"/>
    <xf numFmtId="0" fontId="28" fillId="14" borderId="0" xfId="4" applyFill="1"/>
    <xf numFmtId="0" fontId="31" fillId="14" borderId="9" xfId="4" applyFont="1" applyFill="1" applyBorder="1" applyAlignment="1">
      <alignment horizontal="center" wrapText="1"/>
    </xf>
    <xf numFmtId="0" fontId="31" fillId="14" borderId="13" xfId="4" applyFont="1" applyFill="1" applyBorder="1" applyAlignment="1">
      <alignment horizontal="center" wrapText="1"/>
    </xf>
    <xf numFmtId="0" fontId="31" fillId="14" borderId="10" xfId="4" applyFont="1" applyFill="1" applyBorder="1" applyAlignment="1">
      <alignment horizontal="center" wrapText="1"/>
    </xf>
    <xf numFmtId="0" fontId="31" fillId="14" borderId="14" xfId="4" applyFont="1" applyFill="1" applyBorder="1" applyAlignment="1">
      <alignment horizontal="center" wrapText="1"/>
    </xf>
    <xf numFmtId="0" fontId="31" fillId="14" borderId="15" xfId="4" applyFont="1" applyFill="1" applyBorder="1" applyAlignment="1">
      <alignment horizontal="left" vertical="top" wrapText="1"/>
    </xf>
    <xf numFmtId="0" fontId="31" fillId="14" borderId="20" xfId="4" applyFont="1" applyFill="1" applyBorder="1" applyAlignment="1">
      <alignment horizontal="left" vertical="top" wrapText="1"/>
    </xf>
    <xf numFmtId="0" fontId="31" fillId="14" borderId="24" xfId="4" applyFont="1" applyFill="1" applyBorder="1" applyAlignment="1">
      <alignment horizontal="left" vertical="top" wrapText="1"/>
    </xf>
    <xf numFmtId="0" fontId="31" fillId="14" borderId="28" xfId="4" applyFont="1" applyFill="1" applyBorder="1" applyAlignment="1">
      <alignment horizontal="left" vertical="top" wrapText="1"/>
    </xf>
    <xf numFmtId="0" fontId="31" fillId="14" borderId="0" xfId="4" applyFont="1" applyFill="1" applyBorder="1" applyAlignment="1">
      <alignment horizontal="left" wrapText="1"/>
    </xf>
    <xf numFmtId="0" fontId="31" fillId="14" borderId="11" xfId="4" applyFont="1" applyFill="1" applyBorder="1" applyAlignment="1">
      <alignment horizontal="left" wrapText="1"/>
    </xf>
    <xf numFmtId="0" fontId="31" fillId="14" borderId="8" xfId="4" applyFont="1" applyFill="1" applyBorder="1" applyAlignment="1">
      <alignment horizontal="center" wrapText="1"/>
    </xf>
    <xf numFmtId="0" fontId="31" fillId="14" borderId="12" xfId="4" applyFont="1" applyFill="1" applyBorder="1" applyAlignment="1">
      <alignment horizontal="center" wrapText="1"/>
    </xf>
    <xf numFmtId="0" fontId="30" fillId="0" borderId="0" xfId="4" applyFont="1" applyBorder="1" applyAlignment="1">
      <alignment horizontal="left" vertical="top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0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5" fillId="16" borderId="0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92">
    <cellStyle name="Normal" xfId="0" builtinId="0"/>
    <cellStyle name="Normal 2" xfId="3" xr:uid="{00000000-0005-0000-0000-000001000000}"/>
    <cellStyle name="Normal_Pruebas Aculturaciòn" xfId="4" xr:uid="{00000000-0005-0000-0000-000002000000}"/>
    <cellStyle name="Porcentaje" xfId="1" builtinId="5"/>
    <cellStyle name="Porcentaje 2" xfId="2" xr:uid="{00000000-0005-0000-0000-000004000000}"/>
    <cellStyle name="style1603984536847" xfId="5" xr:uid="{00000000-0005-0000-0000-000005000000}"/>
    <cellStyle name="style1603984537027" xfId="6" xr:uid="{00000000-0005-0000-0000-000006000000}"/>
    <cellStyle name="style1603984537126" xfId="7" xr:uid="{00000000-0005-0000-0000-000007000000}"/>
    <cellStyle name="style1603984537312" xfId="8" xr:uid="{00000000-0005-0000-0000-000008000000}"/>
    <cellStyle name="style1603984537426" xfId="9" xr:uid="{00000000-0005-0000-0000-000009000000}"/>
    <cellStyle name="style1603984537528" xfId="10" xr:uid="{00000000-0005-0000-0000-00000A000000}"/>
    <cellStyle name="style1603984537660" xfId="11" xr:uid="{00000000-0005-0000-0000-00000B000000}"/>
    <cellStyle name="style1603984537795" xfId="12" xr:uid="{00000000-0005-0000-0000-00000C000000}"/>
    <cellStyle name="style1603984537909" xfId="13" xr:uid="{00000000-0005-0000-0000-00000D000000}"/>
    <cellStyle name="style1603984538008" xfId="14" xr:uid="{00000000-0005-0000-0000-00000E000000}"/>
    <cellStyle name="style1603984538119" xfId="15" xr:uid="{00000000-0005-0000-0000-00000F000000}"/>
    <cellStyle name="style1603984538221" xfId="16" xr:uid="{00000000-0005-0000-0000-000010000000}"/>
    <cellStyle name="style1603984538320" xfId="17" xr:uid="{00000000-0005-0000-0000-000011000000}"/>
    <cellStyle name="style1603984538425" xfId="18" xr:uid="{00000000-0005-0000-0000-000012000000}"/>
    <cellStyle name="style1603984538524" xfId="19" xr:uid="{00000000-0005-0000-0000-000013000000}"/>
    <cellStyle name="style1603984538590" xfId="20" xr:uid="{00000000-0005-0000-0000-000014000000}"/>
    <cellStyle name="style1603984538713" xfId="21" xr:uid="{00000000-0005-0000-0000-000015000000}"/>
    <cellStyle name="style1603984538878" xfId="22" xr:uid="{00000000-0005-0000-0000-000016000000}"/>
    <cellStyle name="style1603984539001" xfId="23" xr:uid="{00000000-0005-0000-0000-000017000000}"/>
    <cellStyle name="style1603984539109" xfId="24" xr:uid="{00000000-0005-0000-0000-000018000000}"/>
    <cellStyle name="style1603984539181" xfId="25" xr:uid="{00000000-0005-0000-0000-000019000000}"/>
    <cellStyle name="style1603984539283" xfId="26" xr:uid="{00000000-0005-0000-0000-00001A000000}"/>
    <cellStyle name="style1603984539397" xfId="27" xr:uid="{00000000-0005-0000-0000-00001B000000}"/>
    <cellStyle name="style1603984539499" xfId="28" xr:uid="{00000000-0005-0000-0000-00001C000000}"/>
    <cellStyle name="style1603984539604" xfId="29" xr:uid="{00000000-0005-0000-0000-00001D000000}"/>
    <cellStyle name="style1603984539709" xfId="30" xr:uid="{00000000-0005-0000-0000-00001E000000}"/>
    <cellStyle name="style1603984539811" xfId="31" xr:uid="{00000000-0005-0000-0000-00001F000000}"/>
    <cellStyle name="style1603984539895" xfId="32" xr:uid="{00000000-0005-0000-0000-000020000000}"/>
    <cellStyle name="style1603984539982" xfId="33" xr:uid="{00000000-0005-0000-0000-000021000000}"/>
    <cellStyle name="style1603984540063" xfId="34" xr:uid="{00000000-0005-0000-0000-000022000000}"/>
    <cellStyle name="style1603984540150" xfId="35" xr:uid="{00000000-0005-0000-0000-000023000000}"/>
    <cellStyle name="style1603984540255" xfId="36" xr:uid="{00000000-0005-0000-0000-000024000000}"/>
    <cellStyle name="style1603984540339" xfId="37" xr:uid="{00000000-0005-0000-0000-000025000000}"/>
    <cellStyle name="style1603984540432" xfId="38" xr:uid="{00000000-0005-0000-0000-000026000000}"/>
    <cellStyle name="style1603984540597" xfId="39" xr:uid="{00000000-0005-0000-0000-000027000000}"/>
    <cellStyle name="style1603984540690" xfId="40" xr:uid="{00000000-0005-0000-0000-000028000000}"/>
    <cellStyle name="style1603984540762" xfId="41" xr:uid="{00000000-0005-0000-0000-000029000000}"/>
    <cellStyle name="style1603984540837" xfId="42" xr:uid="{00000000-0005-0000-0000-00002A000000}"/>
    <cellStyle name="style1603984540930" xfId="43" xr:uid="{00000000-0005-0000-0000-00002B000000}"/>
    <cellStyle name="style1603984541023" xfId="44" xr:uid="{00000000-0005-0000-0000-00002C000000}"/>
    <cellStyle name="style1603984541125" xfId="45" xr:uid="{00000000-0005-0000-0000-00002D000000}"/>
    <cellStyle name="style1603984541197" xfId="46" xr:uid="{00000000-0005-0000-0000-00002E000000}"/>
    <cellStyle name="style1603984541308" xfId="47" xr:uid="{00000000-0005-0000-0000-00002F000000}"/>
    <cellStyle name="style1603984541494" xfId="48" xr:uid="{00000000-0005-0000-0000-000030000000}"/>
    <cellStyle name="style1603984541605" xfId="49" xr:uid="{00000000-0005-0000-0000-000031000000}"/>
    <cellStyle name="style1603984541701" xfId="50" xr:uid="{00000000-0005-0000-0000-000032000000}"/>
    <cellStyle name="style1603984541800" xfId="51" xr:uid="{00000000-0005-0000-0000-000033000000}"/>
    <cellStyle name="style1603984541920" xfId="52" xr:uid="{00000000-0005-0000-0000-000034000000}"/>
    <cellStyle name="style1603984542016" xfId="53" xr:uid="{00000000-0005-0000-0000-000035000000}"/>
    <cellStyle name="style1603984542151" xfId="54" xr:uid="{00000000-0005-0000-0000-000036000000}"/>
    <cellStyle name="style1603984542316" xfId="55" xr:uid="{00000000-0005-0000-0000-000037000000}"/>
    <cellStyle name="style1603984542478" xfId="56" xr:uid="{00000000-0005-0000-0000-000038000000}"/>
    <cellStyle name="style1603984542550" xfId="57" xr:uid="{00000000-0005-0000-0000-000039000000}"/>
    <cellStyle name="style1603984542628" xfId="58" xr:uid="{00000000-0005-0000-0000-00003A000000}"/>
    <cellStyle name="style1603984542733" xfId="59" xr:uid="{00000000-0005-0000-0000-00003B000000}"/>
    <cellStyle name="style1603984542829" xfId="60" xr:uid="{00000000-0005-0000-0000-00003C000000}"/>
    <cellStyle name="style1603984542925" xfId="61" xr:uid="{00000000-0005-0000-0000-00003D000000}"/>
    <cellStyle name="style1603984543024" xfId="62" xr:uid="{00000000-0005-0000-0000-00003E000000}"/>
    <cellStyle name="style1603984543123" xfId="63" xr:uid="{00000000-0005-0000-0000-00003F000000}"/>
    <cellStyle name="style1603984543228" xfId="64" xr:uid="{00000000-0005-0000-0000-000040000000}"/>
    <cellStyle name="style1603984543303" xfId="65" xr:uid="{00000000-0005-0000-0000-000041000000}"/>
    <cellStyle name="style1603984543366" xfId="66" xr:uid="{00000000-0005-0000-0000-000042000000}"/>
    <cellStyle name="style1603984543426" xfId="67" xr:uid="{00000000-0005-0000-0000-000043000000}"/>
    <cellStyle name="style1603984543495" xfId="68" xr:uid="{00000000-0005-0000-0000-000044000000}"/>
    <cellStyle name="style1603984543555" xfId="69" xr:uid="{00000000-0005-0000-0000-000045000000}"/>
    <cellStyle name="style1603984543618" xfId="70" xr:uid="{00000000-0005-0000-0000-000046000000}"/>
    <cellStyle name="style1603984543681" xfId="71" xr:uid="{00000000-0005-0000-0000-000047000000}"/>
    <cellStyle name="style1603984543747" xfId="72" xr:uid="{00000000-0005-0000-0000-000048000000}"/>
    <cellStyle name="style1603984543810" xfId="73" xr:uid="{00000000-0005-0000-0000-000049000000}"/>
    <cellStyle name="style1603984543870" xfId="74" xr:uid="{00000000-0005-0000-0000-00004A000000}"/>
    <cellStyle name="style1603984543930" xfId="75" xr:uid="{00000000-0005-0000-0000-00004B000000}"/>
    <cellStyle name="style1603984544461" xfId="76" xr:uid="{00000000-0005-0000-0000-00004C000000}"/>
    <cellStyle name="style1603984544590" xfId="77" xr:uid="{00000000-0005-0000-0000-00004D000000}"/>
    <cellStyle name="style1603984544680" xfId="78" xr:uid="{00000000-0005-0000-0000-00004E000000}"/>
    <cellStyle name="style1603984544752" xfId="79" xr:uid="{00000000-0005-0000-0000-00004F000000}"/>
    <cellStyle name="style1603984544866" xfId="80" xr:uid="{00000000-0005-0000-0000-000050000000}"/>
    <cellStyle name="style1603984544974" xfId="81" xr:uid="{00000000-0005-0000-0000-000051000000}"/>
    <cellStyle name="style1603984545046" xfId="82" xr:uid="{00000000-0005-0000-0000-000052000000}"/>
    <cellStyle name="style1603984545124" xfId="83" xr:uid="{00000000-0005-0000-0000-000053000000}"/>
    <cellStyle name="style1603984545211" xfId="84" xr:uid="{00000000-0005-0000-0000-000054000000}"/>
    <cellStyle name="style1603984545283" xfId="85" xr:uid="{00000000-0005-0000-0000-000055000000}"/>
    <cellStyle name="style1603984545361" xfId="86" xr:uid="{00000000-0005-0000-0000-000056000000}"/>
    <cellStyle name="style1603984545445" xfId="87" xr:uid="{00000000-0005-0000-0000-000057000000}"/>
    <cellStyle name="style1603984545535" xfId="88" xr:uid="{00000000-0005-0000-0000-000058000000}"/>
    <cellStyle name="style1603984545622" xfId="89" xr:uid="{00000000-0005-0000-0000-000059000000}"/>
    <cellStyle name="style1603984545727" xfId="90" xr:uid="{00000000-0005-0000-0000-00005A000000}"/>
    <cellStyle name="style1603984545796" xfId="91" xr:uid="{00000000-0005-0000-0000-00005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T101"/>
  <sheetViews>
    <sheetView zoomScaleNormal="100" workbookViewId="0">
      <selection activeCell="P1" sqref="P1"/>
    </sheetView>
  </sheetViews>
  <sheetFormatPr baseColWidth="10" defaultRowHeight="15"/>
  <cols>
    <col min="2" max="2" width="11.42578125" style="80"/>
    <col min="4" max="4" width="11.42578125" style="79"/>
    <col min="5" max="11" width="11.42578125" customWidth="1"/>
    <col min="12" max="12" width="11.42578125" style="79" customWidth="1"/>
    <col min="13" max="17" width="11.42578125" customWidth="1"/>
    <col min="18" max="20" width="11.42578125" style="2"/>
  </cols>
  <sheetData>
    <row r="1" spans="1:20" ht="45">
      <c r="A1" s="8" t="s">
        <v>0</v>
      </c>
      <c r="B1" s="8" t="s">
        <v>1</v>
      </c>
      <c r="C1" s="8" t="s">
        <v>81</v>
      </c>
      <c r="D1" s="8" t="s">
        <v>164</v>
      </c>
      <c r="E1" s="8" t="s">
        <v>127</v>
      </c>
      <c r="F1" s="8" t="s">
        <v>126</v>
      </c>
      <c r="G1" s="8" t="s">
        <v>125</v>
      </c>
      <c r="H1" s="8" t="s">
        <v>85</v>
      </c>
      <c r="I1" s="9" t="s">
        <v>73</v>
      </c>
      <c r="J1" s="9" t="s">
        <v>74</v>
      </c>
      <c r="K1" s="9" t="s">
        <v>124</v>
      </c>
      <c r="L1" s="16" t="s">
        <v>123</v>
      </c>
      <c r="M1" s="39" t="s">
        <v>107</v>
      </c>
      <c r="N1" s="39" t="s">
        <v>108</v>
      </c>
      <c r="O1" s="41" t="s">
        <v>130</v>
      </c>
      <c r="P1" s="41" t="s">
        <v>113</v>
      </c>
      <c r="Q1" s="41" t="s">
        <v>129</v>
      </c>
      <c r="R1" s="41" t="s">
        <v>109</v>
      </c>
      <c r="S1" s="41" t="s">
        <v>110</v>
      </c>
      <c r="T1" s="41" t="s">
        <v>111</v>
      </c>
    </row>
    <row r="2" spans="1:20">
      <c r="A2" s="34">
        <v>25</v>
      </c>
      <c r="B2" s="34">
        <v>1</v>
      </c>
      <c r="C2" s="34">
        <v>0</v>
      </c>
      <c r="D2" s="6">
        <v>3</v>
      </c>
      <c r="E2" s="34">
        <v>1</v>
      </c>
      <c r="F2" s="34">
        <v>2</v>
      </c>
      <c r="G2" s="34">
        <v>50000</v>
      </c>
      <c r="H2" s="34">
        <v>1</v>
      </c>
      <c r="I2" s="5">
        <v>25</v>
      </c>
      <c r="J2" s="5">
        <v>1</v>
      </c>
      <c r="K2" s="5">
        <v>0</v>
      </c>
      <c r="L2" s="38">
        <v>25</v>
      </c>
      <c r="M2" s="47">
        <v>18</v>
      </c>
      <c r="N2" s="47">
        <v>5</v>
      </c>
      <c r="O2" s="47">
        <v>8</v>
      </c>
      <c r="P2" s="47">
        <v>4</v>
      </c>
      <c r="Q2" s="47">
        <v>8</v>
      </c>
      <c r="R2" s="47">
        <v>3</v>
      </c>
      <c r="S2" s="47">
        <v>2</v>
      </c>
      <c r="T2" s="47">
        <v>3</v>
      </c>
    </row>
    <row r="3" spans="1:20">
      <c r="A3" s="34">
        <v>56</v>
      </c>
      <c r="B3" s="34">
        <v>0</v>
      </c>
      <c r="C3" s="34">
        <v>0</v>
      </c>
      <c r="D3" s="6">
        <v>2</v>
      </c>
      <c r="E3" s="34">
        <v>1</v>
      </c>
      <c r="F3" s="34">
        <v>1</v>
      </c>
      <c r="G3" s="34">
        <v>100000</v>
      </c>
      <c r="H3" s="34">
        <v>1</v>
      </c>
      <c r="I3" s="5">
        <v>23</v>
      </c>
      <c r="J3" s="5">
        <v>1</v>
      </c>
      <c r="K3" s="5">
        <v>0</v>
      </c>
      <c r="L3" s="38">
        <v>25</v>
      </c>
      <c r="M3" s="47">
        <v>15</v>
      </c>
      <c r="N3" s="47">
        <v>8</v>
      </c>
      <c r="O3" s="47">
        <v>13</v>
      </c>
      <c r="P3" s="47">
        <v>4</v>
      </c>
      <c r="Q3" s="47">
        <v>5</v>
      </c>
      <c r="R3" s="47">
        <v>4</v>
      </c>
      <c r="S3" s="47">
        <v>4</v>
      </c>
      <c r="T3" s="47">
        <v>5</v>
      </c>
    </row>
    <row r="4" spans="1:20">
      <c r="A4" s="34">
        <v>24</v>
      </c>
      <c r="B4" s="34">
        <v>1</v>
      </c>
      <c r="C4" s="34">
        <v>9</v>
      </c>
      <c r="D4" s="6">
        <v>3</v>
      </c>
      <c r="E4" s="34">
        <v>1</v>
      </c>
      <c r="F4" s="34">
        <v>2</v>
      </c>
      <c r="G4" s="34">
        <v>100000</v>
      </c>
      <c r="H4" s="34">
        <v>1</v>
      </c>
      <c r="I4" s="5">
        <v>25</v>
      </c>
      <c r="J4" s="5">
        <v>0</v>
      </c>
      <c r="K4" s="5">
        <v>0</v>
      </c>
      <c r="L4" s="38">
        <v>32</v>
      </c>
      <c r="M4" s="47">
        <v>35</v>
      </c>
      <c r="N4" s="47">
        <v>30</v>
      </c>
      <c r="O4" s="47">
        <v>18</v>
      </c>
      <c r="P4" s="47">
        <v>9</v>
      </c>
      <c r="Q4" s="47">
        <v>12</v>
      </c>
      <c r="R4" s="47">
        <v>2</v>
      </c>
      <c r="S4" s="47">
        <v>6</v>
      </c>
      <c r="T4" s="47">
        <v>10</v>
      </c>
    </row>
    <row r="5" spans="1:20">
      <c r="A5" s="34">
        <v>24</v>
      </c>
      <c r="B5" s="34">
        <v>0</v>
      </c>
      <c r="C5" s="34">
        <v>5</v>
      </c>
      <c r="D5" s="6">
        <v>2</v>
      </c>
      <c r="E5" s="34">
        <v>1</v>
      </c>
      <c r="F5" s="34">
        <v>2</v>
      </c>
      <c r="G5" s="34">
        <v>80000</v>
      </c>
      <c r="H5" s="34">
        <v>1</v>
      </c>
      <c r="I5" s="5">
        <v>22</v>
      </c>
      <c r="J5" s="5">
        <v>1</v>
      </c>
      <c r="K5" s="5">
        <v>0</v>
      </c>
      <c r="L5" s="38">
        <v>48</v>
      </c>
      <c r="M5" s="47">
        <v>29</v>
      </c>
      <c r="N5" s="47">
        <v>16</v>
      </c>
      <c r="O5" s="47">
        <v>13</v>
      </c>
      <c r="P5" s="47">
        <v>7</v>
      </c>
      <c r="Q5" s="47">
        <v>10</v>
      </c>
      <c r="R5" s="47">
        <v>4</v>
      </c>
      <c r="S5" s="47">
        <v>4</v>
      </c>
      <c r="T5" s="47">
        <v>5</v>
      </c>
    </row>
    <row r="6" spans="1:20">
      <c r="A6" s="34">
        <v>30</v>
      </c>
      <c r="B6" s="34">
        <v>1</v>
      </c>
      <c r="C6" s="34">
        <v>11</v>
      </c>
      <c r="D6" s="6">
        <v>3</v>
      </c>
      <c r="E6" s="34">
        <v>1</v>
      </c>
      <c r="F6" s="34">
        <v>2</v>
      </c>
      <c r="G6" s="34">
        <v>50000</v>
      </c>
      <c r="H6" s="34">
        <v>1</v>
      </c>
      <c r="I6" s="5">
        <v>21</v>
      </c>
      <c r="J6" s="5">
        <v>0</v>
      </c>
      <c r="K6" s="5">
        <v>0</v>
      </c>
      <c r="L6" s="38">
        <v>42</v>
      </c>
      <c r="M6" s="47">
        <v>34</v>
      </c>
      <c r="N6" s="47">
        <v>21</v>
      </c>
      <c r="O6" s="47">
        <v>16</v>
      </c>
      <c r="P6" s="47">
        <v>7</v>
      </c>
      <c r="Q6" s="47">
        <v>11</v>
      </c>
      <c r="R6" s="47">
        <v>4</v>
      </c>
      <c r="S6" s="47">
        <v>6</v>
      </c>
      <c r="T6" s="47">
        <v>6</v>
      </c>
    </row>
    <row r="7" spans="1:20">
      <c r="A7" s="34">
        <v>49</v>
      </c>
      <c r="B7" s="34">
        <v>1</v>
      </c>
      <c r="C7" s="34">
        <v>0</v>
      </c>
      <c r="D7" s="6">
        <v>1</v>
      </c>
      <c r="E7" s="34">
        <v>1</v>
      </c>
      <c r="F7" s="34">
        <v>2</v>
      </c>
      <c r="G7" s="34">
        <v>200000</v>
      </c>
      <c r="H7" s="34">
        <v>1</v>
      </c>
      <c r="I7" s="5">
        <v>20</v>
      </c>
      <c r="J7" s="5">
        <v>1</v>
      </c>
      <c r="K7" s="5">
        <v>0</v>
      </c>
      <c r="L7" s="38">
        <v>45</v>
      </c>
      <c r="M7" s="47">
        <v>32</v>
      </c>
      <c r="N7" s="47">
        <v>8</v>
      </c>
      <c r="O7" s="47">
        <v>17</v>
      </c>
      <c r="P7" s="47">
        <v>8</v>
      </c>
      <c r="Q7" s="47">
        <v>11</v>
      </c>
      <c r="R7" s="47">
        <v>5</v>
      </c>
      <c r="S7" s="47">
        <v>4</v>
      </c>
      <c r="T7" s="47">
        <v>8</v>
      </c>
    </row>
    <row r="8" spans="1:20">
      <c r="A8" s="34">
        <v>18</v>
      </c>
      <c r="B8" s="34">
        <v>1</v>
      </c>
      <c r="C8" s="34">
        <v>7</v>
      </c>
      <c r="D8" s="6">
        <v>4</v>
      </c>
      <c r="E8" s="34">
        <v>2</v>
      </c>
      <c r="F8" s="34">
        <v>1</v>
      </c>
      <c r="G8" s="34">
        <v>100000</v>
      </c>
      <c r="H8" s="34">
        <v>1</v>
      </c>
      <c r="I8" s="5">
        <v>19</v>
      </c>
      <c r="J8" s="5">
        <v>0</v>
      </c>
      <c r="K8" s="5">
        <v>1</v>
      </c>
      <c r="L8" s="38">
        <v>40</v>
      </c>
      <c r="M8" s="47">
        <v>29</v>
      </c>
      <c r="N8" s="47">
        <v>12</v>
      </c>
      <c r="O8" s="47">
        <v>8</v>
      </c>
      <c r="P8" s="47">
        <v>3</v>
      </c>
      <c r="Q8" s="47">
        <v>9</v>
      </c>
      <c r="R8" s="47">
        <v>1</v>
      </c>
      <c r="S8" s="47">
        <v>3</v>
      </c>
      <c r="T8" s="47">
        <v>4</v>
      </c>
    </row>
    <row r="9" spans="1:20">
      <c r="A9" s="34">
        <v>18</v>
      </c>
      <c r="B9" s="34">
        <v>0</v>
      </c>
      <c r="C9" s="34">
        <v>9</v>
      </c>
      <c r="D9" s="6">
        <v>2</v>
      </c>
      <c r="E9" s="34">
        <v>1</v>
      </c>
      <c r="F9" s="34">
        <v>2</v>
      </c>
      <c r="G9" s="34">
        <v>150000</v>
      </c>
      <c r="H9" s="34">
        <v>1</v>
      </c>
      <c r="I9" s="5">
        <v>24</v>
      </c>
      <c r="J9" s="5">
        <v>0</v>
      </c>
      <c r="K9" s="5">
        <v>1</v>
      </c>
      <c r="L9" s="38">
        <v>49</v>
      </c>
      <c r="M9" s="47">
        <v>35</v>
      </c>
      <c r="N9" s="47">
        <v>24</v>
      </c>
      <c r="O9" s="47">
        <v>23</v>
      </c>
      <c r="P9" s="47">
        <v>12</v>
      </c>
      <c r="Q9" s="47">
        <v>12</v>
      </c>
      <c r="R9" s="47">
        <v>6</v>
      </c>
      <c r="S9" s="47">
        <v>7</v>
      </c>
      <c r="T9" s="47">
        <v>10</v>
      </c>
    </row>
    <row r="10" spans="1:20">
      <c r="A10" s="34">
        <v>31</v>
      </c>
      <c r="B10" s="34">
        <v>0</v>
      </c>
      <c r="C10" s="34">
        <v>1</v>
      </c>
      <c r="D10" s="6">
        <v>2</v>
      </c>
      <c r="E10" s="34">
        <v>1</v>
      </c>
      <c r="F10" s="34">
        <v>2</v>
      </c>
      <c r="G10" s="34">
        <v>30000</v>
      </c>
      <c r="H10" s="34">
        <v>1</v>
      </c>
      <c r="I10" s="5">
        <v>23</v>
      </c>
      <c r="J10" s="5">
        <v>1</v>
      </c>
      <c r="K10" s="5">
        <v>0</v>
      </c>
      <c r="L10" s="38">
        <v>44</v>
      </c>
      <c r="M10" s="47">
        <v>33</v>
      </c>
      <c r="N10" s="47">
        <v>5</v>
      </c>
      <c r="O10" s="47">
        <v>13</v>
      </c>
      <c r="P10" s="47">
        <v>8</v>
      </c>
      <c r="Q10" s="47">
        <v>11</v>
      </c>
      <c r="R10" s="47">
        <v>4</v>
      </c>
      <c r="S10" s="47">
        <v>4</v>
      </c>
      <c r="T10" s="47">
        <v>5</v>
      </c>
    </row>
    <row r="11" spans="1:20">
      <c r="A11" s="34">
        <v>32</v>
      </c>
      <c r="B11" s="34">
        <v>0</v>
      </c>
      <c r="C11" s="34">
        <v>5</v>
      </c>
      <c r="D11" s="6">
        <v>2</v>
      </c>
      <c r="E11" s="34">
        <v>1</v>
      </c>
      <c r="F11" s="34">
        <v>2</v>
      </c>
      <c r="G11" s="34">
        <v>500000</v>
      </c>
      <c r="H11" s="34">
        <v>1</v>
      </c>
      <c r="I11" s="5">
        <v>23</v>
      </c>
      <c r="J11" s="5">
        <v>1</v>
      </c>
      <c r="K11" s="5">
        <v>0</v>
      </c>
      <c r="L11" s="38">
        <v>45</v>
      </c>
      <c r="M11" s="47">
        <v>30</v>
      </c>
      <c r="N11" s="47">
        <v>12</v>
      </c>
      <c r="O11" s="47">
        <v>18</v>
      </c>
      <c r="P11" s="47">
        <v>7</v>
      </c>
      <c r="Q11" s="47">
        <v>10</v>
      </c>
      <c r="R11" s="47">
        <v>5</v>
      </c>
      <c r="S11" s="47">
        <v>7</v>
      </c>
      <c r="T11" s="47">
        <v>6</v>
      </c>
    </row>
    <row r="12" spans="1:20">
      <c r="A12" s="34">
        <v>40</v>
      </c>
      <c r="B12" s="34">
        <v>0</v>
      </c>
      <c r="C12" s="34">
        <v>3</v>
      </c>
      <c r="D12" s="6">
        <v>3</v>
      </c>
      <c r="E12" s="34">
        <v>1</v>
      </c>
      <c r="F12" s="34">
        <v>2</v>
      </c>
      <c r="G12" s="34">
        <v>300000</v>
      </c>
      <c r="H12" s="34">
        <v>1</v>
      </c>
      <c r="I12" s="5">
        <v>32</v>
      </c>
      <c r="J12" s="5">
        <v>1</v>
      </c>
      <c r="K12" s="5">
        <v>0</v>
      </c>
      <c r="L12" s="38">
        <v>54</v>
      </c>
      <c r="M12" s="47">
        <v>33</v>
      </c>
      <c r="N12" s="47">
        <v>11</v>
      </c>
      <c r="O12" s="47">
        <v>11</v>
      </c>
      <c r="P12" s="47">
        <v>8</v>
      </c>
      <c r="Q12" s="47">
        <v>12</v>
      </c>
      <c r="R12" s="47">
        <v>3</v>
      </c>
      <c r="S12" s="47">
        <v>5</v>
      </c>
      <c r="T12" s="47">
        <v>3</v>
      </c>
    </row>
    <row r="13" spans="1:20">
      <c r="A13" s="34">
        <v>27</v>
      </c>
      <c r="B13" s="34">
        <v>0</v>
      </c>
      <c r="C13" s="34">
        <v>0</v>
      </c>
      <c r="D13" s="6">
        <v>3</v>
      </c>
      <c r="E13" s="34">
        <v>1</v>
      </c>
      <c r="F13" s="34">
        <v>2</v>
      </c>
      <c r="G13" s="34">
        <v>200000</v>
      </c>
      <c r="H13" s="34">
        <v>1</v>
      </c>
      <c r="I13" s="5">
        <v>20</v>
      </c>
      <c r="J13" s="5">
        <v>1</v>
      </c>
      <c r="K13" s="5">
        <v>0</v>
      </c>
      <c r="L13" s="38">
        <v>40</v>
      </c>
      <c r="M13" s="47">
        <v>30</v>
      </c>
      <c r="N13" s="47">
        <v>17</v>
      </c>
      <c r="O13" s="47">
        <v>9</v>
      </c>
      <c r="P13" s="47">
        <v>6</v>
      </c>
      <c r="Q13" s="47">
        <v>11</v>
      </c>
      <c r="R13" s="47">
        <v>3</v>
      </c>
      <c r="S13" s="47">
        <v>3</v>
      </c>
      <c r="T13" s="47">
        <v>3</v>
      </c>
    </row>
    <row r="14" spans="1:20">
      <c r="A14" s="34">
        <v>45</v>
      </c>
      <c r="B14" s="34">
        <v>1</v>
      </c>
      <c r="C14" s="34">
        <v>5</v>
      </c>
      <c r="D14" s="6">
        <v>1</v>
      </c>
      <c r="E14" s="34">
        <v>1</v>
      </c>
      <c r="F14" s="34">
        <v>1</v>
      </c>
      <c r="G14" s="34">
        <v>150000</v>
      </c>
      <c r="H14" s="34">
        <v>1</v>
      </c>
      <c r="I14" s="5">
        <v>21</v>
      </c>
      <c r="J14" s="5">
        <v>1</v>
      </c>
      <c r="K14" s="5">
        <v>0</v>
      </c>
      <c r="L14" s="38">
        <v>29</v>
      </c>
      <c r="M14" s="47">
        <v>30</v>
      </c>
      <c r="N14" s="47">
        <v>20</v>
      </c>
      <c r="O14" s="47">
        <v>18</v>
      </c>
      <c r="P14" s="47">
        <v>7</v>
      </c>
      <c r="Q14" s="47">
        <v>11</v>
      </c>
      <c r="R14" s="47">
        <v>5</v>
      </c>
      <c r="S14" s="47">
        <v>5</v>
      </c>
      <c r="T14" s="47">
        <v>8</v>
      </c>
    </row>
    <row r="15" spans="1:20">
      <c r="A15" s="34">
        <v>38</v>
      </c>
      <c r="B15" s="34">
        <v>1</v>
      </c>
      <c r="C15" s="34">
        <v>5</v>
      </c>
      <c r="D15" s="6">
        <v>1</v>
      </c>
      <c r="E15" s="34">
        <v>1</v>
      </c>
      <c r="F15" s="34">
        <v>2</v>
      </c>
      <c r="G15" s="34">
        <v>250000</v>
      </c>
      <c r="H15" s="34">
        <v>1</v>
      </c>
      <c r="I15" s="5">
        <v>30</v>
      </c>
      <c r="J15" s="5">
        <v>1</v>
      </c>
      <c r="K15" s="5">
        <v>0</v>
      </c>
      <c r="L15" s="38">
        <v>25</v>
      </c>
      <c r="M15" s="47">
        <v>25</v>
      </c>
      <c r="N15" s="47">
        <v>16</v>
      </c>
      <c r="O15" s="47">
        <v>19</v>
      </c>
      <c r="P15" s="47">
        <v>8</v>
      </c>
      <c r="Q15" s="47">
        <v>9</v>
      </c>
      <c r="R15" s="47">
        <v>6</v>
      </c>
      <c r="S15" s="47">
        <v>7</v>
      </c>
      <c r="T15" s="47">
        <v>6</v>
      </c>
    </row>
    <row r="16" spans="1:20">
      <c r="A16" s="34">
        <v>32</v>
      </c>
      <c r="B16" s="34">
        <v>0</v>
      </c>
      <c r="C16" s="34">
        <v>1</v>
      </c>
      <c r="D16" s="6">
        <v>2</v>
      </c>
      <c r="E16" s="34">
        <v>1</v>
      </c>
      <c r="F16" s="34">
        <v>2</v>
      </c>
      <c r="G16" s="34">
        <v>50000</v>
      </c>
      <c r="H16" s="34">
        <v>1</v>
      </c>
      <c r="I16" s="5">
        <v>21</v>
      </c>
      <c r="J16" s="5">
        <v>1</v>
      </c>
      <c r="K16" s="5">
        <v>0</v>
      </c>
      <c r="L16" s="38">
        <v>51</v>
      </c>
      <c r="M16" s="47">
        <v>27</v>
      </c>
      <c r="N16" s="47">
        <v>14</v>
      </c>
      <c r="O16" s="47">
        <v>22</v>
      </c>
      <c r="P16" s="47">
        <v>9</v>
      </c>
      <c r="Q16" s="47">
        <v>12</v>
      </c>
      <c r="R16" s="47">
        <v>4</v>
      </c>
      <c r="S16" s="47">
        <v>6</v>
      </c>
      <c r="T16" s="47">
        <v>12</v>
      </c>
    </row>
    <row r="17" spans="1:20">
      <c r="A17" s="34">
        <v>59</v>
      </c>
      <c r="B17" s="34">
        <v>0</v>
      </c>
      <c r="C17" s="34">
        <v>0</v>
      </c>
      <c r="D17" s="6">
        <v>3</v>
      </c>
      <c r="E17" s="34">
        <v>1</v>
      </c>
      <c r="F17" s="34">
        <v>4</v>
      </c>
      <c r="G17" s="34">
        <v>30000</v>
      </c>
      <c r="H17" s="34">
        <v>1</v>
      </c>
      <c r="I17" s="5">
        <v>20</v>
      </c>
      <c r="J17" s="5">
        <v>1</v>
      </c>
      <c r="K17" s="5">
        <v>0</v>
      </c>
      <c r="L17" s="38">
        <v>25</v>
      </c>
      <c r="M17" s="47">
        <v>20</v>
      </c>
      <c r="N17" s="47">
        <v>8</v>
      </c>
      <c r="O17" s="47">
        <v>12</v>
      </c>
      <c r="P17" s="47">
        <v>6</v>
      </c>
      <c r="Q17" s="47">
        <v>10</v>
      </c>
      <c r="R17" s="47">
        <v>4</v>
      </c>
      <c r="S17" s="47">
        <v>3</v>
      </c>
      <c r="T17" s="47">
        <v>5</v>
      </c>
    </row>
    <row r="18" spans="1:20">
      <c r="A18" s="34">
        <v>41</v>
      </c>
      <c r="B18" s="34">
        <v>0</v>
      </c>
      <c r="C18" s="34">
        <v>6</v>
      </c>
      <c r="D18" s="6">
        <v>2</v>
      </c>
      <c r="E18" s="34">
        <v>1</v>
      </c>
      <c r="F18" s="34">
        <v>2</v>
      </c>
      <c r="G18" s="34">
        <v>130000</v>
      </c>
      <c r="H18" s="34">
        <v>1</v>
      </c>
      <c r="I18" s="5">
        <v>25</v>
      </c>
      <c r="J18" s="5">
        <v>0</v>
      </c>
      <c r="K18" s="5">
        <v>0</v>
      </c>
      <c r="L18" s="38">
        <v>33</v>
      </c>
      <c r="M18" s="47">
        <v>23</v>
      </c>
      <c r="N18" s="47">
        <v>12</v>
      </c>
      <c r="O18" s="47">
        <v>17</v>
      </c>
      <c r="P18" s="47">
        <v>7</v>
      </c>
      <c r="Q18" s="47">
        <v>12</v>
      </c>
      <c r="R18" s="47">
        <v>6</v>
      </c>
      <c r="S18" s="47">
        <v>5</v>
      </c>
      <c r="T18" s="47">
        <v>6</v>
      </c>
    </row>
    <row r="19" spans="1:20">
      <c r="A19" s="34">
        <v>41</v>
      </c>
      <c r="B19" s="34">
        <v>0</v>
      </c>
      <c r="C19" s="34">
        <v>7</v>
      </c>
      <c r="D19" s="6">
        <v>2</v>
      </c>
      <c r="E19" s="34">
        <v>1</v>
      </c>
      <c r="F19" s="34">
        <v>3</v>
      </c>
      <c r="G19" s="34">
        <v>200000</v>
      </c>
      <c r="H19" s="34">
        <v>1</v>
      </c>
      <c r="I19" s="5">
        <v>24</v>
      </c>
      <c r="J19" s="5">
        <v>0</v>
      </c>
      <c r="K19" s="5">
        <v>0</v>
      </c>
      <c r="L19" s="38">
        <v>30</v>
      </c>
      <c r="M19" s="47">
        <v>29</v>
      </c>
      <c r="N19" s="47">
        <v>15</v>
      </c>
      <c r="O19" s="47">
        <v>12</v>
      </c>
      <c r="P19" s="47">
        <v>9</v>
      </c>
      <c r="Q19" s="47">
        <v>12</v>
      </c>
      <c r="R19" s="47">
        <v>2</v>
      </c>
      <c r="S19" s="47">
        <v>4</v>
      </c>
      <c r="T19" s="47">
        <v>6</v>
      </c>
    </row>
    <row r="20" spans="1:20">
      <c r="A20" s="34">
        <v>48</v>
      </c>
      <c r="B20" s="34">
        <v>0</v>
      </c>
      <c r="C20" s="34">
        <v>0</v>
      </c>
      <c r="D20" s="6">
        <v>3</v>
      </c>
      <c r="E20" s="34">
        <v>1</v>
      </c>
      <c r="F20" s="34">
        <v>2</v>
      </c>
      <c r="G20" s="34">
        <v>80000</v>
      </c>
      <c r="H20" s="34">
        <v>2</v>
      </c>
      <c r="I20" s="5">
        <v>25</v>
      </c>
      <c r="J20" s="5">
        <v>1</v>
      </c>
      <c r="K20" s="5">
        <v>0</v>
      </c>
      <c r="L20" s="38">
        <v>29</v>
      </c>
      <c r="M20" s="47">
        <v>20</v>
      </c>
      <c r="N20" s="47">
        <v>12</v>
      </c>
      <c r="O20" s="47">
        <v>7</v>
      </c>
      <c r="P20" s="47">
        <v>1</v>
      </c>
      <c r="Q20" s="47">
        <v>6</v>
      </c>
      <c r="R20" s="47">
        <v>2</v>
      </c>
      <c r="S20" s="47">
        <v>2</v>
      </c>
      <c r="T20" s="47">
        <v>3</v>
      </c>
    </row>
    <row r="21" spans="1:20">
      <c r="A21" s="34">
        <v>39</v>
      </c>
      <c r="B21" s="34">
        <v>0</v>
      </c>
      <c r="C21" s="34">
        <v>9</v>
      </c>
      <c r="D21" s="6">
        <v>2</v>
      </c>
      <c r="E21" s="34">
        <v>1</v>
      </c>
      <c r="F21" s="34">
        <v>1</v>
      </c>
      <c r="G21" s="34">
        <v>50000</v>
      </c>
      <c r="H21" s="34">
        <v>2</v>
      </c>
      <c r="I21" s="5">
        <v>27</v>
      </c>
      <c r="J21" s="5">
        <v>0</v>
      </c>
      <c r="K21" s="5">
        <v>0</v>
      </c>
      <c r="L21" s="38">
        <v>48</v>
      </c>
      <c r="M21" s="47">
        <v>35</v>
      </c>
      <c r="N21" s="47">
        <v>20</v>
      </c>
      <c r="O21" s="47">
        <v>11</v>
      </c>
      <c r="P21" s="47">
        <v>9</v>
      </c>
      <c r="Q21" s="47">
        <v>12</v>
      </c>
      <c r="R21" s="47">
        <v>3</v>
      </c>
      <c r="S21" s="47">
        <v>5</v>
      </c>
      <c r="T21" s="47">
        <v>3</v>
      </c>
    </row>
    <row r="22" spans="1:20">
      <c r="A22" s="34">
        <v>44</v>
      </c>
      <c r="B22" s="34">
        <v>1</v>
      </c>
      <c r="C22" s="34">
        <v>3</v>
      </c>
      <c r="D22" s="6">
        <v>1</v>
      </c>
      <c r="E22" s="34">
        <v>1</v>
      </c>
      <c r="F22" s="34">
        <v>2</v>
      </c>
      <c r="G22" s="34">
        <v>100000</v>
      </c>
      <c r="H22" s="34">
        <v>1</v>
      </c>
      <c r="I22" s="5">
        <v>26</v>
      </c>
      <c r="J22" s="5">
        <v>1</v>
      </c>
      <c r="K22" s="5">
        <v>0</v>
      </c>
      <c r="L22" s="38">
        <v>36</v>
      </c>
      <c r="M22" s="47">
        <v>33</v>
      </c>
      <c r="N22" s="47">
        <v>29</v>
      </c>
      <c r="O22" s="47">
        <v>14</v>
      </c>
      <c r="P22" s="47">
        <v>6</v>
      </c>
      <c r="Q22" s="47">
        <v>12</v>
      </c>
      <c r="R22" s="47">
        <v>4</v>
      </c>
      <c r="S22" s="47">
        <v>4</v>
      </c>
      <c r="T22" s="47">
        <v>6</v>
      </c>
    </row>
    <row r="23" spans="1:20">
      <c r="A23" s="34">
        <v>23</v>
      </c>
      <c r="B23" s="34">
        <v>0</v>
      </c>
      <c r="C23" s="34">
        <v>3</v>
      </c>
      <c r="D23" s="6">
        <v>3</v>
      </c>
      <c r="E23" s="34">
        <v>1</v>
      </c>
      <c r="F23" s="34">
        <v>1</v>
      </c>
      <c r="G23" s="34">
        <v>100000</v>
      </c>
      <c r="H23" s="34">
        <v>1</v>
      </c>
      <c r="I23" s="5">
        <v>20</v>
      </c>
      <c r="J23" s="5">
        <v>1</v>
      </c>
      <c r="K23" s="5">
        <v>0</v>
      </c>
      <c r="L23" s="38">
        <v>38</v>
      </c>
      <c r="M23" s="47">
        <v>15</v>
      </c>
      <c r="N23" s="47">
        <v>12</v>
      </c>
      <c r="O23" s="47">
        <v>11</v>
      </c>
      <c r="P23" s="47">
        <v>6</v>
      </c>
      <c r="Q23" s="47">
        <v>12</v>
      </c>
      <c r="R23" s="47">
        <v>3</v>
      </c>
      <c r="S23" s="47">
        <v>3</v>
      </c>
      <c r="T23" s="47">
        <v>5</v>
      </c>
    </row>
    <row r="24" spans="1:20">
      <c r="A24" s="34">
        <v>18</v>
      </c>
      <c r="B24" s="34">
        <v>0</v>
      </c>
      <c r="C24" s="34">
        <v>9</v>
      </c>
      <c r="D24" s="6">
        <v>4</v>
      </c>
      <c r="E24" s="34">
        <v>1</v>
      </c>
      <c r="F24" s="34">
        <v>1</v>
      </c>
      <c r="G24" s="34">
        <v>270000</v>
      </c>
      <c r="H24" s="34">
        <v>1</v>
      </c>
      <c r="I24" s="5">
        <v>21</v>
      </c>
      <c r="J24" s="5">
        <v>0</v>
      </c>
      <c r="K24" s="5">
        <v>1</v>
      </c>
      <c r="L24" s="38">
        <v>57</v>
      </c>
      <c r="M24" s="47">
        <v>36</v>
      </c>
      <c r="N24" s="47">
        <v>26</v>
      </c>
      <c r="O24" s="47">
        <v>11</v>
      </c>
      <c r="P24" s="47">
        <v>7</v>
      </c>
      <c r="Q24" s="47">
        <v>11</v>
      </c>
      <c r="R24" s="47">
        <v>5</v>
      </c>
      <c r="S24" s="47">
        <v>3</v>
      </c>
      <c r="T24" s="47">
        <v>3</v>
      </c>
    </row>
    <row r="25" spans="1:20">
      <c r="A25" s="34">
        <v>42</v>
      </c>
      <c r="B25" s="34">
        <v>1</v>
      </c>
      <c r="C25" s="34">
        <v>19</v>
      </c>
      <c r="D25" s="6">
        <v>4</v>
      </c>
      <c r="E25" s="34">
        <v>1</v>
      </c>
      <c r="F25" s="34">
        <v>2</v>
      </c>
      <c r="G25" s="34">
        <v>1400000</v>
      </c>
      <c r="H25" s="34">
        <v>1</v>
      </c>
      <c r="I25" s="5">
        <v>22</v>
      </c>
      <c r="J25" s="5">
        <v>0</v>
      </c>
      <c r="K25" s="5">
        <v>1</v>
      </c>
      <c r="L25" s="38">
        <v>53</v>
      </c>
      <c r="M25" s="47">
        <v>32</v>
      </c>
      <c r="N25" s="47">
        <v>22</v>
      </c>
      <c r="O25" s="47">
        <v>14</v>
      </c>
      <c r="P25" s="47">
        <v>8</v>
      </c>
      <c r="Q25" s="47">
        <v>11</v>
      </c>
      <c r="R25" s="47">
        <v>4</v>
      </c>
      <c r="S25" s="47">
        <v>7</v>
      </c>
      <c r="T25" s="47">
        <v>3</v>
      </c>
    </row>
    <row r="26" spans="1:20">
      <c r="A26" s="34">
        <v>73</v>
      </c>
      <c r="B26" s="34">
        <v>1</v>
      </c>
      <c r="C26" s="34">
        <v>0</v>
      </c>
      <c r="D26" s="6">
        <v>1</v>
      </c>
      <c r="E26" s="34">
        <v>1</v>
      </c>
      <c r="F26" s="34">
        <v>3</v>
      </c>
      <c r="G26" s="34">
        <v>38000</v>
      </c>
      <c r="H26" s="34">
        <v>1</v>
      </c>
      <c r="I26" s="5">
        <v>20</v>
      </c>
      <c r="J26" s="5">
        <v>0</v>
      </c>
      <c r="K26" s="5">
        <v>0</v>
      </c>
      <c r="L26" s="38">
        <v>33</v>
      </c>
      <c r="M26" s="47">
        <v>22</v>
      </c>
      <c r="N26" s="47">
        <v>16</v>
      </c>
      <c r="O26" s="47">
        <v>14</v>
      </c>
      <c r="P26" s="47">
        <v>6</v>
      </c>
      <c r="Q26" s="47">
        <v>10</v>
      </c>
      <c r="R26" s="47">
        <v>3</v>
      </c>
      <c r="S26" s="47">
        <v>5</v>
      </c>
      <c r="T26" s="47">
        <v>6</v>
      </c>
    </row>
    <row r="27" spans="1:20">
      <c r="A27" s="34">
        <v>29</v>
      </c>
      <c r="B27" s="34">
        <v>1</v>
      </c>
      <c r="C27" s="34">
        <v>6</v>
      </c>
      <c r="D27" s="6">
        <v>1</v>
      </c>
      <c r="E27" s="34">
        <v>1</v>
      </c>
      <c r="F27" s="34">
        <v>2</v>
      </c>
      <c r="G27" s="34">
        <v>50000</v>
      </c>
      <c r="H27" s="34">
        <v>3</v>
      </c>
      <c r="I27" s="5">
        <v>24</v>
      </c>
      <c r="J27" s="5">
        <v>0</v>
      </c>
      <c r="K27" s="5">
        <v>0</v>
      </c>
      <c r="L27" s="38">
        <v>38</v>
      </c>
      <c r="M27" s="47">
        <v>33</v>
      </c>
      <c r="N27" s="47">
        <v>12</v>
      </c>
      <c r="O27" s="47">
        <v>17</v>
      </c>
      <c r="P27" s="47">
        <v>5</v>
      </c>
      <c r="Q27" s="47">
        <v>9</v>
      </c>
      <c r="R27" s="47">
        <v>4</v>
      </c>
      <c r="S27" s="47">
        <v>4</v>
      </c>
      <c r="T27" s="47">
        <v>9</v>
      </c>
    </row>
    <row r="28" spans="1:20">
      <c r="A28" s="34">
        <v>28</v>
      </c>
      <c r="B28" s="34">
        <v>0</v>
      </c>
      <c r="C28" s="34">
        <v>11</v>
      </c>
      <c r="D28" s="6">
        <v>2</v>
      </c>
      <c r="E28" s="34">
        <v>1</v>
      </c>
      <c r="F28" s="34">
        <v>1</v>
      </c>
      <c r="G28" s="34">
        <v>150000</v>
      </c>
      <c r="H28" s="34">
        <v>1</v>
      </c>
      <c r="I28" s="5">
        <v>26</v>
      </c>
      <c r="J28" s="5">
        <v>0</v>
      </c>
      <c r="K28" s="5">
        <v>0</v>
      </c>
      <c r="L28" s="38">
        <v>56</v>
      </c>
      <c r="M28" s="47">
        <v>35</v>
      </c>
      <c r="N28" s="47">
        <v>19</v>
      </c>
      <c r="O28" s="47">
        <v>16</v>
      </c>
      <c r="P28" s="47">
        <v>8</v>
      </c>
      <c r="Q28" s="47">
        <v>12</v>
      </c>
      <c r="R28" s="47">
        <v>5</v>
      </c>
      <c r="S28" s="47">
        <v>4</v>
      </c>
      <c r="T28" s="47">
        <v>7</v>
      </c>
    </row>
    <row r="29" spans="1:20">
      <c r="A29" s="34">
        <v>28</v>
      </c>
      <c r="B29" s="34">
        <v>0</v>
      </c>
      <c r="C29" s="34">
        <v>5</v>
      </c>
      <c r="D29" s="6">
        <v>3</v>
      </c>
      <c r="E29" s="34">
        <v>1</v>
      </c>
      <c r="F29" s="34">
        <v>2</v>
      </c>
      <c r="G29" s="34">
        <v>150000</v>
      </c>
      <c r="H29" s="34">
        <v>2</v>
      </c>
      <c r="I29" s="5">
        <v>21</v>
      </c>
      <c r="J29" s="5">
        <v>1</v>
      </c>
      <c r="K29" s="5">
        <v>0</v>
      </c>
      <c r="L29" s="38">
        <v>40</v>
      </c>
      <c r="M29" s="47">
        <v>10</v>
      </c>
      <c r="N29" s="47">
        <v>9</v>
      </c>
      <c r="O29" s="47">
        <v>21</v>
      </c>
      <c r="P29" s="47">
        <v>5</v>
      </c>
      <c r="Q29" s="47">
        <v>10</v>
      </c>
      <c r="R29" s="47">
        <v>6</v>
      </c>
      <c r="S29" s="47">
        <v>8</v>
      </c>
      <c r="T29" s="47">
        <v>7</v>
      </c>
    </row>
    <row r="30" spans="1:20">
      <c r="A30" s="34">
        <v>41</v>
      </c>
      <c r="B30" s="34">
        <v>0</v>
      </c>
      <c r="C30" s="34">
        <v>11</v>
      </c>
      <c r="D30" s="6">
        <v>1</v>
      </c>
      <c r="E30" s="34">
        <v>1</v>
      </c>
      <c r="F30" s="34">
        <v>2</v>
      </c>
      <c r="G30" s="34">
        <v>125000</v>
      </c>
      <c r="H30" s="34">
        <v>2</v>
      </c>
      <c r="I30" s="5">
        <v>23</v>
      </c>
      <c r="J30" s="5">
        <v>0</v>
      </c>
      <c r="K30" s="5">
        <v>0</v>
      </c>
      <c r="L30" s="38">
        <v>40</v>
      </c>
      <c r="M30" s="47">
        <v>28</v>
      </c>
      <c r="N30" s="47">
        <v>20</v>
      </c>
      <c r="O30" s="47">
        <v>9</v>
      </c>
      <c r="P30" s="47">
        <v>9</v>
      </c>
      <c r="Q30" s="47">
        <v>12</v>
      </c>
      <c r="R30" s="47">
        <v>0</v>
      </c>
      <c r="S30" s="47">
        <v>4</v>
      </c>
      <c r="T30" s="47">
        <v>5</v>
      </c>
    </row>
    <row r="31" spans="1:20">
      <c r="A31" s="34">
        <v>21</v>
      </c>
      <c r="B31" s="34">
        <v>0</v>
      </c>
      <c r="C31" s="34">
        <v>0</v>
      </c>
      <c r="D31" s="6">
        <v>2</v>
      </c>
      <c r="E31" s="34">
        <v>1</v>
      </c>
      <c r="F31" s="34">
        <v>2</v>
      </c>
      <c r="G31" s="34">
        <v>100000</v>
      </c>
      <c r="H31" s="34">
        <v>1</v>
      </c>
      <c r="I31" s="5">
        <v>24</v>
      </c>
      <c r="J31" s="5">
        <v>0</v>
      </c>
      <c r="K31" s="5">
        <v>0</v>
      </c>
      <c r="L31" s="38">
        <v>27</v>
      </c>
      <c r="M31" s="47">
        <v>15</v>
      </c>
      <c r="N31" s="47">
        <v>7</v>
      </c>
      <c r="O31" s="47">
        <v>20</v>
      </c>
      <c r="P31" s="47">
        <v>5</v>
      </c>
      <c r="Q31" s="47">
        <v>10</v>
      </c>
      <c r="R31" s="47">
        <v>6</v>
      </c>
      <c r="S31" s="47">
        <v>7</v>
      </c>
      <c r="T31" s="47">
        <v>7</v>
      </c>
    </row>
    <row r="32" spans="1:20">
      <c r="A32" s="34">
        <v>36</v>
      </c>
      <c r="B32" s="34">
        <v>1</v>
      </c>
      <c r="C32" s="34">
        <v>3</v>
      </c>
      <c r="D32" s="6">
        <v>4</v>
      </c>
      <c r="E32" s="34">
        <v>1</v>
      </c>
      <c r="F32" s="34">
        <v>2</v>
      </c>
      <c r="G32" s="34">
        <v>400000</v>
      </c>
      <c r="H32" s="34">
        <v>1</v>
      </c>
      <c r="I32" s="5">
        <v>25</v>
      </c>
      <c r="J32" s="5">
        <v>1</v>
      </c>
      <c r="K32" s="5">
        <v>0</v>
      </c>
      <c r="L32" s="38">
        <v>30</v>
      </c>
      <c r="M32" s="47">
        <v>34</v>
      </c>
      <c r="N32" s="47">
        <v>27</v>
      </c>
      <c r="O32" s="47">
        <v>10</v>
      </c>
      <c r="P32" s="47">
        <v>8</v>
      </c>
      <c r="Q32" s="47">
        <v>12</v>
      </c>
      <c r="R32" s="47">
        <v>4</v>
      </c>
      <c r="S32" s="47">
        <v>3</v>
      </c>
      <c r="T32" s="47">
        <v>3</v>
      </c>
    </row>
    <row r="33" spans="1:20">
      <c r="A33" s="34">
        <v>22</v>
      </c>
      <c r="B33" s="34">
        <v>1</v>
      </c>
      <c r="C33" s="34">
        <v>11</v>
      </c>
      <c r="D33" s="6">
        <v>3</v>
      </c>
      <c r="E33" s="34">
        <v>1</v>
      </c>
      <c r="F33" s="34">
        <v>2</v>
      </c>
      <c r="G33" s="34">
        <v>400000</v>
      </c>
      <c r="H33" s="34">
        <v>2</v>
      </c>
      <c r="I33" s="5">
        <v>22</v>
      </c>
      <c r="J33" s="5">
        <v>0</v>
      </c>
      <c r="K33" s="5">
        <v>0</v>
      </c>
      <c r="L33" s="38">
        <v>55</v>
      </c>
      <c r="M33" s="47">
        <v>35</v>
      </c>
      <c r="N33" s="47">
        <v>32</v>
      </c>
      <c r="O33" s="47">
        <v>20</v>
      </c>
      <c r="P33" s="47">
        <v>8</v>
      </c>
      <c r="Q33" s="47">
        <v>11</v>
      </c>
      <c r="R33" s="47">
        <v>5</v>
      </c>
      <c r="S33" s="47">
        <v>7</v>
      </c>
      <c r="T33" s="47">
        <v>8</v>
      </c>
    </row>
    <row r="34" spans="1:20">
      <c r="A34" s="34">
        <v>30</v>
      </c>
      <c r="B34" s="34">
        <v>1</v>
      </c>
      <c r="C34" s="34">
        <v>6</v>
      </c>
      <c r="D34" s="6">
        <v>3</v>
      </c>
      <c r="E34" s="34">
        <v>1</v>
      </c>
      <c r="F34" s="34">
        <v>1</v>
      </c>
      <c r="G34" s="34">
        <v>500000</v>
      </c>
      <c r="H34" s="34">
        <v>3</v>
      </c>
      <c r="I34" s="5">
        <v>21</v>
      </c>
      <c r="J34" s="5">
        <v>0</v>
      </c>
      <c r="K34" s="5">
        <v>0</v>
      </c>
      <c r="L34" s="38">
        <v>43</v>
      </c>
      <c r="M34" s="47">
        <v>22</v>
      </c>
      <c r="N34" s="47">
        <v>12</v>
      </c>
      <c r="O34" s="47">
        <v>11</v>
      </c>
      <c r="P34" s="47">
        <v>5</v>
      </c>
      <c r="Q34" s="47">
        <v>9</v>
      </c>
      <c r="R34" s="47">
        <v>3</v>
      </c>
      <c r="S34" s="47">
        <v>6</v>
      </c>
      <c r="T34" s="47">
        <v>2</v>
      </c>
    </row>
    <row r="35" spans="1:20">
      <c r="A35" s="34">
        <v>35</v>
      </c>
      <c r="B35" s="34">
        <v>1</v>
      </c>
      <c r="C35" s="34">
        <v>4</v>
      </c>
      <c r="D35" s="6">
        <v>1</v>
      </c>
      <c r="E35" s="34">
        <v>1</v>
      </c>
      <c r="F35" s="34">
        <v>2</v>
      </c>
      <c r="G35" s="34">
        <v>100000</v>
      </c>
      <c r="H35" s="34">
        <v>1</v>
      </c>
      <c r="I35" s="5">
        <v>25</v>
      </c>
      <c r="J35" s="5">
        <v>1</v>
      </c>
      <c r="K35" s="5">
        <v>0</v>
      </c>
      <c r="L35" s="38">
        <v>36</v>
      </c>
      <c r="M35" s="47">
        <v>32</v>
      </c>
      <c r="N35" s="47">
        <v>28</v>
      </c>
      <c r="O35" s="47">
        <v>14</v>
      </c>
      <c r="P35" s="47">
        <v>6</v>
      </c>
      <c r="Q35" s="47">
        <v>9</v>
      </c>
      <c r="R35" s="47">
        <v>3</v>
      </c>
      <c r="S35" s="47">
        <v>5</v>
      </c>
      <c r="T35" s="47">
        <v>6</v>
      </c>
    </row>
    <row r="36" spans="1:20">
      <c r="A36" s="34">
        <v>35</v>
      </c>
      <c r="B36" s="34">
        <v>0</v>
      </c>
      <c r="C36" s="34">
        <v>7</v>
      </c>
      <c r="D36" s="6">
        <v>3</v>
      </c>
      <c r="E36" s="34">
        <v>1</v>
      </c>
      <c r="F36" s="34">
        <v>2</v>
      </c>
      <c r="G36" s="34">
        <v>200000</v>
      </c>
      <c r="H36" s="34">
        <v>1</v>
      </c>
      <c r="I36" s="5">
        <v>22</v>
      </c>
      <c r="J36" s="5">
        <v>0</v>
      </c>
      <c r="K36" s="5">
        <v>0</v>
      </c>
      <c r="L36" s="38">
        <v>34</v>
      </c>
      <c r="M36" s="47">
        <v>28</v>
      </c>
      <c r="N36" s="47">
        <v>18</v>
      </c>
      <c r="O36" s="47">
        <v>16</v>
      </c>
      <c r="P36" s="47">
        <v>8</v>
      </c>
      <c r="Q36" s="47">
        <v>10</v>
      </c>
      <c r="R36" s="47">
        <v>3</v>
      </c>
      <c r="S36" s="47">
        <v>6</v>
      </c>
      <c r="T36" s="47">
        <v>7</v>
      </c>
    </row>
    <row r="37" spans="1:20">
      <c r="A37" s="34">
        <v>36</v>
      </c>
      <c r="B37" s="34">
        <v>1</v>
      </c>
      <c r="C37" s="34">
        <v>9</v>
      </c>
      <c r="D37" s="6">
        <v>1</v>
      </c>
      <c r="E37" s="34">
        <v>1</v>
      </c>
      <c r="F37" s="34">
        <v>2</v>
      </c>
      <c r="G37" s="34">
        <v>250000</v>
      </c>
      <c r="H37" s="34">
        <v>1</v>
      </c>
      <c r="I37" s="5">
        <v>24</v>
      </c>
      <c r="J37" s="5">
        <v>0</v>
      </c>
      <c r="K37" s="5">
        <v>0</v>
      </c>
      <c r="L37" s="38">
        <v>16</v>
      </c>
      <c r="M37" s="47">
        <v>28</v>
      </c>
      <c r="N37" s="47">
        <v>20</v>
      </c>
      <c r="O37" s="47">
        <v>17</v>
      </c>
      <c r="P37" s="47">
        <v>9</v>
      </c>
      <c r="Q37" s="47">
        <v>12</v>
      </c>
      <c r="R37" s="47">
        <v>5</v>
      </c>
      <c r="S37" s="47">
        <v>6</v>
      </c>
      <c r="T37" s="47">
        <v>6</v>
      </c>
    </row>
    <row r="38" spans="1:20">
      <c r="A38" s="34">
        <v>31</v>
      </c>
      <c r="B38" s="34">
        <v>0</v>
      </c>
      <c r="C38" s="34">
        <v>2</v>
      </c>
      <c r="D38" s="6">
        <v>3</v>
      </c>
      <c r="E38" s="34">
        <v>1</v>
      </c>
      <c r="F38" s="34">
        <v>2</v>
      </c>
      <c r="G38" s="34">
        <v>100000</v>
      </c>
      <c r="H38" s="34">
        <v>1</v>
      </c>
      <c r="I38" s="5">
        <v>25</v>
      </c>
      <c r="J38" s="5">
        <v>1</v>
      </c>
      <c r="K38" s="5">
        <v>0</v>
      </c>
      <c r="L38" s="38">
        <v>35</v>
      </c>
      <c r="M38" s="47">
        <v>28</v>
      </c>
      <c r="N38" s="47">
        <v>22</v>
      </c>
      <c r="O38" s="47">
        <v>16</v>
      </c>
      <c r="P38" s="47">
        <v>7</v>
      </c>
      <c r="Q38" s="47">
        <v>12</v>
      </c>
      <c r="R38" s="47">
        <v>3</v>
      </c>
      <c r="S38" s="47">
        <v>7</v>
      </c>
      <c r="T38" s="47">
        <v>6</v>
      </c>
    </row>
    <row r="39" spans="1:20">
      <c r="A39" s="34">
        <v>66</v>
      </c>
      <c r="B39" s="34">
        <v>1</v>
      </c>
      <c r="C39" s="34">
        <v>0</v>
      </c>
      <c r="D39" s="6">
        <v>3</v>
      </c>
      <c r="E39" s="34">
        <v>1</v>
      </c>
      <c r="F39" s="34">
        <v>4</v>
      </c>
      <c r="G39" s="34">
        <v>200000</v>
      </c>
      <c r="H39" s="34">
        <v>1</v>
      </c>
      <c r="I39" s="5">
        <v>26</v>
      </c>
      <c r="J39" s="5">
        <v>0</v>
      </c>
      <c r="K39" s="5">
        <v>0</v>
      </c>
      <c r="L39" s="38">
        <v>25</v>
      </c>
      <c r="M39" s="47">
        <v>18</v>
      </c>
      <c r="N39" s="47">
        <v>12</v>
      </c>
      <c r="O39" s="47">
        <v>10</v>
      </c>
      <c r="P39" s="47">
        <v>7</v>
      </c>
      <c r="Q39" s="47">
        <v>12</v>
      </c>
      <c r="R39" s="47">
        <v>2</v>
      </c>
      <c r="S39" s="47">
        <v>3</v>
      </c>
      <c r="T39" s="47">
        <v>5</v>
      </c>
    </row>
    <row r="40" spans="1:20">
      <c r="A40" s="34">
        <v>19</v>
      </c>
      <c r="B40" s="34">
        <v>0</v>
      </c>
      <c r="C40" s="34">
        <v>9</v>
      </c>
      <c r="D40" s="6">
        <v>3</v>
      </c>
      <c r="E40" s="34">
        <v>1</v>
      </c>
      <c r="F40" s="34">
        <v>2</v>
      </c>
      <c r="G40" s="34">
        <v>300000</v>
      </c>
      <c r="H40" s="34">
        <v>2</v>
      </c>
      <c r="I40" s="5">
        <v>24</v>
      </c>
      <c r="J40" s="5">
        <v>0</v>
      </c>
      <c r="K40" s="5">
        <v>0</v>
      </c>
      <c r="L40" s="38">
        <v>53</v>
      </c>
      <c r="M40" s="47">
        <v>23</v>
      </c>
      <c r="N40" s="47">
        <v>10</v>
      </c>
      <c r="O40" s="47">
        <v>19</v>
      </c>
      <c r="P40" s="47">
        <v>9</v>
      </c>
      <c r="Q40" s="47">
        <v>12</v>
      </c>
      <c r="R40" s="47">
        <v>3</v>
      </c>
      <c r="S40" s="47">
        <v>7</v>
      </c>
      <c r="T40" s="47">
        <v>9</v>
      </c>
    </row>
    <row r="41" spans="1:20">
      <c r="A41" s="34">
        <v>24</v>
      </c>
      <c r="B41" s="34">
        <v>1</v>
      </c>
      <c r="C41" s="34">
        <v>12</v>
      </c>
      <c r="D41" s="6">
        <v>4</v>
      </c>
      <c r="E41" s="34">
        <v>1</v>
      </c>
      <c r="F41" s="34">
        <v>1</v>
      </c>
      <c r="G41" s="34">
        <v>400000</v>
      </c>
      <c r="H41" s="34">
        <v>2</v>
      </c>
      <c r="I41" s="5">
        <v>27</v>
      </c>
      <c r="J41" s="5">
        <v>0</v>
      </c>
      <c r="K41" s="5">
        <v>0</v>
      </c>
      <c r="L41" s="38">
        <v>45</v>
      </c>
      <c r="M41" s="47">
        <v>27</v>
      </c>
      <c r="N41" s="47">
        <v>24</v>
      </c>
      <c r="O41" s="47">
        <v>26</v>
      </c>
      <c r="P41" s="47">
        <v>10</v>
      </c>
      <c r="Q41" s="47">
        <v>12</v>
      </c>
      <c r="R41" s="47">
        <v>7</v>
      </c>
      <c r="S41" s="47">
        <v>9</v>
      </c>
      <c r="T41" s="47">
        <v>10</v>
      </c>
    </row>
    <row r="42" spans="1:20">
      <c r="A42" s="34">
        <v>64</v>
      </c>
      <c r="B42" s="34">
        <v>0</v>
      </c>
      <c r="C42" s="34">
        <v>0</v>
      </c>
      <c r="D42" s="6">
        <v>3</v>
      </c>
      <c r="E42" s="34">
        <v>1</v>
      </c>
      <c r="F42" s="34">
        <v>1</v>
      </c>
      <c r="G42" s="34">
        <v>200000</v>
      </c>
      <c r="H42" s="34">
        <v>2</v>
      </c>
      <c r="I42" s="5">
        <v>27</v>
      </c>
      <c r="J42" s="5">
        <v>0</v>
      </c>
      <c r="K42" s="5">
        <v>0</v>
      </c>
      <c r="L42" s="38">
        <v>39</v>
      </c>
      <c r="M42" s="47">
        <v>17</v>
      </c>
      <c r="N42" s="47">
        <v>12</v>
      </c>
      <c r="O42" s="47">
        <v>12</v>
      </c>
      <c r="P42" s="47">
        <v>7</v>
      </c>
      <c r="Q42" s="47">
        <v>12</v>
      </c>
      <c r="R42" s="47">
        <v>3</v>
      </c>
      <c r="S42" s="47">
        <v>4</v>
      </c>
      <c r="T42" s="47">
        <v>5</v>
      </c>
    </row>
    <row r="43" spans="1:20">
      <c r="A43" s="34">
        <v>19</v>
      </c>
      <c r="B43" s="34">
        <v>1</v>
      </c>
      <c r="C43" s="34">
        <v>9</v>
      </c>
      <c r="D43" s="6">
        <v>1</v>
      </c>
      <c r="E43" s="34">
        <v>1</v>
      </c>
      <c r="F43" s="34">
        <v>1</v>
      </c>
      <c r="G43" s="34">
        <v>200000</v>
      </c>
      <c r="H43" s="34">
        <v>1</v>
      </c>
      <c r="I43" s="5">
        <v>21</v>
      </c>
      <c r="J43" s="5">
        <v>0</v>
      </c>
      <c r="K43" s="5">
        <v>1</v>
      </c>
      <c r="L43" s="38">
        <v>52</v>
      </c>
      <c r="M43" s="47">
        <v>27</v>
      </c>
      <c r="N43" s="47">
        <v>26</v>
      </c>
      <c r="O43" s="47">
        <v>19</v>
      </c>
      <c r="P43" s="47">
        <v>6</v>
      </c>
      <c r="Q43" s="47">
        <v>9</v>
      </c>
      <c r="R43" s="47">
        <v>5</v>
      </c>
      <c r="S43" s="47">
        <v>8</v>
      </c>
      <c r="T43" s="47">
        <v>6</v>
      </c>
    </row>
    <row r="44" spans="1:20">
      <c r="A44" s="34">
        <v>33</v>
      </c>
      <c r="B44" s="34">
        <v>1</v>
      </c>
      <c r="C44" s="34">
        <v>5</v>
      </c>
      <c r="D44" s="6">
        <v>1</v>
      </c>
      <c r="E44" s="34">
        <v>1</v>
      </c>
      <c r="F44" s="34">
        <v>1</v>
      </c>
      <c r="G44" s="34">
        <v>80000</v>
      </c>
      <c r="H44" s="34">
        <v>1</v>
      </c>
      <c r="I44" s="5">
        <v>28</v>
      </c>
      <c r="J44" s="5">
        <v>1</v>
      </c>
      <c r="K44" s="5">
        <v>0</v>
      </c>
      <c r="L44" s="38">
        <v>36</v>
      </c>
      <c r="M44" s="47">
        <v>23</v>
      </c>
      <c r="N44" s="47">
        <v>12</v>
      </c>
      <c r="O44" s="47">
        <v>17</v>
      </c>
      <c r="P44" s="47">
        <v>6</v>
      </c>
      <c r="Q44" s="47">
        <v>12</v>
      </c>
      <c r="R44" s="47">
        <v>5</v>
      </c>
      <c r="S44" s="47">
        <v>6</v>
      </c>
      <c r="T44" s="47">
        <v>6</v>
      </c>
    </row>
    <row r="45" spans="1:20">
      <c r="A45" s="34">
        <v>35</v>
      </c>
      <c r="B45" s="34">
        <v>0</v>
      </c>
      <c r="C45" s="34">
        <v>9</v>
      </c>
      <c r="D45" s="6">
        <v>2</v>
      </c>
      <c r="E45" s="34">
        <v>1</v>
      </c>
      <c r="F45" s="34">
        <v>2</v>
      </c>
      <c r="G45" s="34">
        <v>200000</v>
      </c>
      <c r="H45" s="34">
        <v>1</v>
      </c>
      <c r="I45" s="5">
        <v>25</v>
      </c>
      <c r="J45" s="5">
        <v>0</v>
      </c>
      <c r="K45" s="5">
        <v>0</v>
      </c>
      <c r="L45" s="38">
        <v>41</v>
      </c>
      <c r="M45" s="47">
        <v>14</v>
      </c>
      <c r="N45" s="47">
        <v>10</v>
      </c>
      <c r="O45" s="47">
        <v>14</v>
      </c>
      <c r="P45" s="47">
        <v>6</v>
      </c>
      <c r="Q45" s="47">
        <v>12</v>
      </c>
      <c r="R45" s="47">
        <v>3</v>
      </c>
      <c r="S45" s="47">
        <v>4</v>
      </c>
      <c r="T45" s="47">
        <v>7</v>
      </c>
    </row>
    <row r="46" spans="1:20">
      <c r="A46" s="34">
        <v>36</v>
      </c>
      <c r="B46" s="34">
        <v>0</v>
      </c>
      <c r="C46" s="34">
        <v>2</v>
      </c>
      <c r="D46" s="6">
        <v>2</v>
      </c>
      <c r="E46" s="34">
        <v>1</v>
      </c>
      <c r="F46" s="34">
        <v>2</v>
      </c>
      <c r="G46" s="34">
        <v>200000</v>
      </c>
      <c r="H46" s="34">
        <v>2</v>
      </c>
      <c r="I46" s="5">
        <v>25</v>
      </c>
      <c r="J46" s="5">
        <v>1</v>
      </c>
      <c r="K46" s="5">
        <v>0</v>
      </c>
      <c r="L46" s="38">
        <v>46</v>
      </c>
      <c r="M46" s="47">
        <v>17</v>
      </c>
      <c r="N46" s="47">
        <v>12</v>
      </c>
      <c r="O46" s="47">
        <v>12</v>
      </c>
      <c r="P46" s="47">
        <v>4</v>
      </c>
      <c r="Q46" s="47">
        <v>12</v>
      </c>
      <c r="R46" s="47">
        <v>4</v>
      </c>
      <c r="S46" s="47">
        <v>2</v>
      </c>
      <c r="T46" s="47">
        <v>6</v>
      </c>
    </row>
    <row r="47" spans="1:20">
      <c r="A47" s="34">
        <v>28</v>
      </c>
      <c r="B47" s="34">
        <v>1</v>
      </c>
      <c r="C47" s="34">
        <v>8</v>
      </c>
      <c r="D47" s="6">
        <v>3</v>
      </c>
      <c r="E47" s="34">
        <v>3</v>
      </c>
      <c r="F47" s="34">
        <v>2</v>
      </c>
      <c r="G47" s="34">
        <v>600000</v>
      </c>
      <c r="H47" s="34">
        <v>2</v>
      </c>
      <c r="I47" s="5">
        <v>28</v>
      </c>
      <c r="J47" s="5">
        <v>0</v>
      </c>
      <c r="K47" s="5">
        <v>0</v>
      </c>
      <c r="L47" s="38">
        <v>44</v>
      </c>
      <c r="M47" s="47">
        <v>20</v>
      </c>
      <c r="N47" s="47">
        <v>9</v>
      </c>
      <c r="O47" s="47">
        <v>13</v>
      </c>
      <c r="P47" s="47">
        <v>8</v>
      </c>
      <c r="Q47" s="47">
        <v>12</v>
      </c>
      <c r="R47" s="47">
        <v>5</v>
      </c>
      <c r="S47" s="47">
        <v>5</v>
      </c>
      <c r="T47" s="47">
        <v>3</v>
      </c>
    </row>
    <row r="48" spans="1:20">
      <c r="A48" s="34">
        <v>30</v>
      </c>
      <c r="B48" s="34">
        <v>0</v>
      </c>
      <c r="C48" s="34">
        <v>3</v>
      </c>
      <c r="D48" s="6">
        <v>2</v>
      </c>
      <c r="E48" s="34">
        <v>1</v>
      </c>
      <c r="F48" s="34">
        <v>2</v>
      </c>
      <c r="G48" s="34">
        <v>150000</v>
      </c>
      <c r="H48" s="34">
        <v>2</v>
      </c>
      <c r="I48" s="5">
        <v>26</v>
      </c>
      <c r="J48" s="5">
        <v>1</v>
      </c>
      <c r="K48" s="5">
        <v>0</v>
      </c>
      <c r="L48" s="38">
        <v>47</v>
      </c>
      <c r="M48" s="47">
        <v>21</v>
      </c>
      <c r="N48" s="47">
        <v>11</v>
      </c>
      <c r="O48" s="47">
        <v>16</v>
      </c>
      <c r="P48" s="47">
        <v>10</v>
      </c>
      <c r="Q48" s="47">
        <v>12</v>
      </c>
      <c r="R48" s="47">
        <v>5</v>
      </c>
      <c r="S48" s="47">
        <v>6</v>
      </c>
      <c r="T48" s="47">
        <v>5</v>
      </c>
    </row>
    <row r="49" spans="1:20">
      <c r="A49" s="34">
        <v>18</v>
      </c>
      <c r="B49" s="34">
        <v>0</v>
      </c>
      <c r="C49" s="34">
        <v>12</v>
      </c>
      <c r="D49" s="6">
        <v>2</v>
      </c>
      <c r="E49" s="34">
        <v>1</v>
      </c>
      <c r="F49" s="34">
        <v>1</v>
      </c>
      <c r="G49" s="34">
        <v>500000</v>
      </c>
      <c r="H49" s="34">
        <v>1</v>
      </c>
      <c r="I49" s="5">
        <v>24</v>
      </c>
      <c r="J49" s="5">
        <v>0</v>
      </c>
      <c r="K49" s="5">
        <v>1</v>
      </c>
      <c r="L49" s="38">
        <v>49</v>
      </c>
      <c r="M49" s="47">
        <v>21</v>
      </c>
      <c r="N49" s="47">
        <v>14</v>
      </c>
      <c r="O49" s="47">
        <v>13</v>
      </c>
      <c r="P49" s="47">
        <v>4</v>
      </c>
      <c r="Q49" s="47">
        <v>11</v>
      </c>
      <c r="R49" s="47">
        <v>4</v>
      </c>
      <c r="S49" s="47">
        <v>4</v>
      </c>
      <c r="T49" s="47">
        <v>5</v>
      </c>
    </row>
    <row r="50" spans="1:20">
      <c r="A50" s="34">
        <v>41</v>
      </c>
      <c r="B50" s="34">
        <v>0</v>
      </c>
      <c r="C50" s="34">
        <v>4</v>
      </c>
      <c r="D50" s="6">
        <v>3</v>
      </c>
      <c r="E50" s="34">
        <v>1</v>
      </c>
      <c r="F50" s="34">
        <v>2</v>
      </c>
      <c r="G50" s="34">
        <v>50000</v>
      </c>
      <c r="H50" s="34">
        <v>2</v>
      </c>
      <c r="I50" s="5">
        <v>23</v>
      </c>
      <c r="J50" s="5">
        <v>1</v>
      </c>
      <c r="K50" s="5">
        <v>0</v>
      </c>
      <c r="L50" s="38">
        <v>44</v>
      </c>
      <c r="M50" s="47">
        <v>18</v>
      </c>
      <c r="N50" s="47">
        <v>14</v>
      </c>
      <c r="O50" s="47">
        <v>8</v>
      </c>
      <c r="P50" s="47">
        <v>4</v>
      </c>
      <c r="Q50" s="47">
        <v>6</v>
      </c>
      <c r="R50" s="47">
        <v>2</v>
      </c>
      <c r="S50" s="47">
        <v>4</v>
      </c>
      <c r="T50" s="47">
        <v>2</v>
      </c>
    </row>
    <row r="51" spans="1:20">
      <c r="A51" s="34">
        <v>34</v>
      </c>
      <c r="B51" s="34">
        <v>1</v>
      </c>
      <c r="C51" s="34">
        <v>11</v>
      </c>
      <c r="D51" s="6">
        <v>1</v>
      </c>
      <c r="E51" s="34">
        <v>1</v>
      </c>
      <c r="F51" s="34">
        <v>2</v>
      </c>
      <c r="G51" s="34">
        <v>120000</v>
      </c>
      <c r="H51" s="34">
        <v>1</v>
      </c>
      <c r="I51" s="5">
        <v>22</v>
      </c>
      <c r="J51" s="5">
        <v>0</v>
      </c>
      <c r="K51" s="5">
        <v>0</v>
      </c>
      <c r="L51" s="38">
        <v>44</v>
      </c>
      <c r="M51" s="47">
        <v>34</v>
      </c>
      <c r="N51" s="47">
        <v>32</v>
      </c>
      <c r="O51" s="47">
        <v>24</v>
      </c>
      <c r="P51" s="47">
        <v>12</v>
      </c>
      <c r="Q51" s="47">
        <v>12</v>
      </c>
      <c r="R51" s="47">
        <v>6</v>
      </c>
      <c r="S51" s="47">
        <v>8</v>
      </c>
      <c r="T51" s="47">
        <v>10</v>
      </c>
    </row>
    <row r="52" spans="1:20">
      <c r="A52" s="34">
        <v>28</v>
      </c>
      <c r="B52" s="34">
        <v>1</v>
      </c>
      <c r="C52" s="34">
        <v>11</v>
      </c>
      <c r="D52" s="6">
        <v>3</v>
      </c>
      <c r="E52" s="34">
        <v>1</v>
      </c>
      <c r="F52" s="34">
        <v>2</v>
      </c>
      <c r="G52" s="34">
        <v>180000</v>
      </c>
      <c r="H52" s="34">
        <v>1</v>
      </c>
      <c r="I52" s="5">
        <v>25</v>
      </c>
      <c r="J52" s="5">
        <v>0</v>
      </c>
      <c r="K52" s="5">
        <v>0</v>
      </c>
      <c r="L52" s="38">
        <v>49</v>
      </c>
      <c r="M52" s="47">
        <v>35</v>
      </c>
      <c r="N52" s="47">
        <v>29</v>
      </c>
      <c r="O52" s="47">
        <v>13</v>
      </c>
      <c r="P52" s="47">
        <v>8</v>
      </c>
      <c r="Q52" s="47">
        <v>10</v>
      </c>
      <c r="R52" s="47">
        <v>4</v>
      </c>
      <c r="S52" s="47">
        <v>4</v>
      </c>
      <c r="T52" s="47">
        <v>5</v>
      </c>
    </row>
    <row r="53" spans="1:20">
      <c r="A53" s="34">
        <v>23</v>
      </c>
      <c r="B53" s="34">
        <v>0</v>
      </c>
      <c r="C53" s="34">
        <v>11</v>
      </c>
      <c r="D53" s="6">
        <v>3</v>
      </c>
      <c r="E53" s="34">
        <v>1</v>
      </c>
      <c r="F53" s="34">
        <v>1</v>
      </c>
      <c r="G53" s="34">
        <v>300000</v>
      </c>
      <c r="H53" s="34">
        <v>1</v>
      </c>
      <c r="I53" s="5">
        <v>24</v>
      </c>
      <c r="J53" s="5">
        <v>0</v>
      </c>
      <c r="K53" s="5">
        <v>0</v>
      </c>
      <c r="L53" s="38">
        <v>41</v>
      </c>
      <c r="M53" s="47">
        <v>36</v>
      </c>
      <c r="N53" s="47">
        <v>30</v>
      </c>
      <c r="O53" s="47">
        <v>17</v>
      </c>
      <c r="P53" s="47">
        <v>7</v>
      </c>
      <c r="Q53" s="47">
        <v>11</v>
      </c>
      <c r="R53" s="47">
        <v>4</v>
      </c>
      <c r="S53" s="47">
        <v>6</v>
      </c>
      <c r="T53" s="47">
        <v>7</v>
      </c>
    </row>
    <row r="54" spans="1:20">
      <c r="A54" s="34">
        <v>26</v>
      </c>
      <c r="B54" s="34">
        <v>0</v>
      </c>
      <c r="C54" s="34">
        <v>11</v>
      </c>
      <c r="D54" s="6">
        <v>3</v>
      </c>
      <c r="E54" s="34">
        <v>1</v>
      </c>
      <c r="F54" s="34">
        <v>2</v>
      </c>
      <c r="G54" s="34">
        <v>200000</v>
      </c>
      <c r="H54" s="34">
        <v>1</v>
      </c>
      <c r="I54" s="5">
        <v>28</v>
      </c>
      <c r="J54" s="5">
        <v>0</v>
      </c>
      <c r="K54" s="5">
        <v>0</v>
      </c>
      <c r="L54" s="38">
        <v>31</v>
      </c>
      <c r="M54" s="47">
        <v>32</v>
      </c>
      <c r="N54" s="47">
        <v>28</v>
      </c>
      <c r="O54" s="47">
        <v>23</v>
      </c>
      <c r="P54" s="47">
        <v>10</v>
      </c>
      <c r="Q54" s="47">
        <v>12</v>
      </c>
      <c r="R54" s="47">
        <v>6</v>
      </c>
      <c r="S54" s="47">
        <v>8</v>
      </c>
      <c r="T54" s="47">
        <v>9</v>
      </c>
    </row>
    <row r="55" spans="1:20">
      <c r="A55" s="34">
        <v>42</v>
      </c>
      <c r="B55" s="34">
        <v>0</v>
      </c>
      <c r="C55" s="34">
        <v>4</v>
      </c>
      <c r="D55" s="6">
        <v>3</v>
      </c>
      <c r="E55" s="34">
        <v>1</v>
      </c>
      <c r="F55" s="34">
        <v>2</v>
      </c>
      <c r="G55" s="34">
        <v>200000</v>
      </c>
      <c r="H55" s="34">
        <v>1</v>
      </c>
      <c r="I55" s="5">
        <v>26</v>
      </c>
      <c r="J55" s="5">
        <v>1</v>
      </c>
      <c r="K55" s="5">
        <v>0</v>
      </c>
      <c r="L55" s="38">
        <v>22</v>
      </c>
      <c r="M55" s="47">
        <v>26</v>
      </c>
      <c r="N55" s="47">
        <v>16</v>
      </c>
      <c r="O55" s="47">
        <v>15</v>
      </c>
      <c r="P55" s="47">
        <v>7</v>
      </c>
      <c r="Q55" s="47">
        <v>11</v>
      </c>
      <c r="R55" s="47">
        <v>4</v>
      </c>
      <c r="S55" s="47">
        <v>5</v>
      </c>
      <c r="T55" s="47">
        <v>6</v>
      </c>
    </row>
    <row r="56" spans="1:20">
      <c r="A56" s="34">
        <v>21</v>
      </c>
      <c r="B56" s="34">
        <v>1</v>
      </c>
      <c r="C56" s="34">
        <v>11</v>
      </c>
      <c r="D56" s="6">
        <v>3</v>
      </c>
      <c r="E56" s="34">
        <v>1</v>
      </c>
      <c r="F56" s="34">
        <v>1</v>
      </c>
      <c r="G56" s="34">
        <v>150000</v>
      </c>
      <c r="H56" s="34">
        <v>1</v>
      </c>
      <c r="I56" s="5">
        <v>20</v>
      </c>
      <c r="J56" s="5">
        <v>0</v>
      </c>
      <c r="K56" s="5">
        <v>0</v>
      </c>
      <c r="L56" s="38">
        <v>46</v>
      </c>
      <c r="M56" s="47">
        <v>32</v>
      </c>
      <c r="N56" s="47">
        <v>28</v>
      </c>
      <c r="O56" s="47">
        <v>18</v>
      </c>
      <c r="P56" s="47">
        <v>9</v>
      </c>
      <c r="Q56" s="47">
        <v>12</v>
      </c>
      <c r="R56" s="47">
        <v>5</v>
      </c>
      <c r="S56" s="47">
        <v>5</v>
      </c>
      <c r="T56" s="47">
        <v>8</v>
      </c>
    </row>
    <row r="57" spans="1:20">
      <c r="A57" s="34">
        <v>18</v>
      </c>
      <c r="B57" s="34">
        <v>1</v>
      </c>
      <c r="C57" s="34">
        <v>11</v>
      </c>
      <c r="D57" s="6">
        <v>1</v>
      </c>
      <c r="E57" s="34">
        <v>1</v>
      </c>
      <c r="F57" s="34">
        <v>1</v>
      </c>
      <c r="G57" s="34">
        <v>250000</v>
      </c>
      <c r="H57" s="34">
        <v>2</v>
      </c>
      <c r="I57" s="5">
        <v>21</v>
      </c>
      <c r="J57" s="5">
        <v>0</v>
      </c>
      <c r="K57" s="5">
        <v>0</v>
      </c>
      <c r="L57" s="38">
        <v>45</v>
      </c>
      <c r="M57" s="47">
        <v>35</v>
      </c>
      <c r="N57" s="47">
        <v>30</v>
      </c>
      <c r="O57" s="47">
        <v>19</v>
      </c>
      <c r="P57" s="47">
        <v>11</v>
      </c>
      <c r="Q57" s="47">
        <v>12</v>
      </c>
      <c r="R57" s="47">
        <v>6</v>
      </c>
      <c r="S57" s="47">
        <v>6</v>
      </c>
      <c r="T57" s="47">
        <v>7</v>
      </c>
    </row>
    <row r="58" spans="1:20">
      <c r="A58" s="34">
        <v>21</v>
      </c>
      <c r="B58" s="34">
        <v>1</v>
      </c>
      <c r="C58" s="34">
        <v>8</v>
      </c>
      <c r="D58" s="6">
        <v>1</v>
      </c>
      <c r="E58" s="34">
        <v>2</v>
      </c>
      <c r="F58" s="34">
        <v>2</v>
      </c>
      <c r="G58" s="34">
        <v>300000</v>
      </c>
      <c r="H58" s="34">
        <v>1</v>
      </c>
      <c r="I58" s="5">
        <v>25</v>
      </c>
      <c r="J58" s="5">
        <v>0</v>
      </c>
      <c r="K58" s="5">
        <v>0</v>
      </c>
      <c r="L58" s="38">
        <v>48</v>
      </c>
      <c r="M58" s="47">
        <v>33</v>
      </c>
      <c r="N58" s="47">
        <v>22</v>
      </c>
      <c r="O58" s="47">
        <v>15</v>
      </c>
      <c r="P58" s="47">
        <v>8</v>
      </c>
      <c r="Q58" s="47">
        <v>10</v>
      </c>
      <c r="R58" s="47">
        <v>4</v>
      </c>
      <c r="S58" s="47">
        <v>5</v>
      </c>
      <c r="T58" s="47">
        <v>6</v>
      </c>
    </row>
    <row r="59" spans="1:20">
      <c r="A59" s="34">
        <v>21</v>
      </c>
      <c r="B59" s="34">
        <v>0</v>
      </c>
      <c r="C59" s="34">
        <v>8</v>
      </c>
      <c r="D59" s="6">
        <v>2</v>
      </c>
      <c r="E59" s="34">
        <v>1</v>
      </c>
      <c r="F59" s="34">
        <v>2</v>
      </c>
      <c r="G59" s="34">
        <v>100000</v>
      </c>
      <c r="H59" s="34">
        <v>1</v>
      </c>
      <c r="I59" s="5">
        <v>23</v>
      </c>
      <c r="J59" s="5">
        <v>0</v>
      </c>
      <c r="K59" s="5">
        <v>0</v>
      </c>
      <c r="L59" s="38">
        <v>42</v>
      </c>
      <c r="M59" s="47">
        <v>36</v>
      </c>
      <c r="N59" s="47">
        <v>27</v>
      </c>
      <c r="O59" s="47">
        <v>24</v>
      </c>
      <c r="P59" s="47">
        <v>9</v>
      </c>
      <c r="Q59" s="47">
        <v>11</v>
      </c>
      <c r="R59" s="47">
        <v>8</v>
      </c>
      <c r="S59" s="47">
        <v>7</v>
      </c>
      <c r="T59" s="47">
        <v>9</v>
      </c>
    </row>
    <row r="60" spans="1:20">
      <c r="A60" s="34">
        <v>19</v>
      </c>
      <c r="B60" s="34">
        <v>1</v>
      </c>
      <c r="C60" s="34">
        <v>6</v>
      </c>
      <c r="D60" s="6">
        <v>3</v>
      </c>
      <c r="E60" s="34">
        <v>1</v>
      </c>
      <c r="F60" s="34">
        <v>2</v>
      </c>
      <c r="G60" s="34">
        <v>100000</v>
      </c>
      <c r="H60" s="34">
        <v>1</v>
      </c>
      <c r="I60" s="5">
        <v>19</v>
      </c>
      <c r="J60" s="5">
        <v>0</v>
      </c>
      <c r="K60" s="5">
        <v>0</v>
      </c>
      <c r="L60" s="38">
        <v>42</v>
      </c>
      <c r="M60" s="47">
        <v>33</v>
      </c>
      <c r="N60" s="47">
        <v>8</v>
      </c>
      <c r="O60" s="47">
        <v>13</v>
      </c>
      <c r="P60" s="47">
        <v>6</v>
      </c>
      <c r="Q60" s="47">
        <v>10</v>
      </c>
      <c r="R60" s="47">
        <v>1</v>
      </c>
      <c r="S60" s="47">
        <v>6</v>
      </c>
      <c r="T60" s="47">
        <v>6</v>
      </c>
    </row>
    <row r="61" spans="1:20">
      <c r="A61" s="34">
        <v>45</v>
      </c>
      <c r="B61" s="34">
        <v>1</v>
      </c>
      <c r="C61" s="34">
        <v>2</v>
      </c>
      <c r="D61" s="6">
        <v>1</v>
      </c>
      <c r="E61" s="34">
        <v>1</v>
      </c>
      <c r="F61" s="34">
        <v>2</v>
      </c>
      <c r="G61" s="34">
        <v>50000</v>
      </c>
      <c r="H61" s="34">
        <v>1</v>
      </c>
      <c r="I61" s="5">
        <v>24</v>
      </c>
      <c r="J61" s="5">
        <v>1</v>
      </c>
      <c r="K61" s="5">
        <v>0</v>
      </c>
      <c r="L61" s="38">
        <v>28</v>
      </c>
      <c r="M61" s="47">
        <v>8</v>
      </c>
      <c r="N61" s="47">
        <v>6</v>
      </c>
      <c r="O61" s="47">
        <v>15</v>
      </c>
      <c r="P61" s="47">
        <v>4</v>
      </c>
      <c r="Q61" s="47">
        <v>12</v>
      </c>
      <c r="R61" s="47">
        <v>3</v>
      </c>
      <c r="S61" s="47">
        <v>6</v>
      </c>
      <c r="T61" s="47">
        <v>6</v>
      </c>
    </row>
    <row r="62" spans="1:20">
      <c r="A62" s="34">
        <v>28</v>
      </c>
      <c r="B62" s="34">
        <v>1</v>
      </c>
      <c r="C62" s="34">
        <v>11</v>
      </c>
      <c r="D62" s="6">
        <v>3</v>
      </c>
      <c r="E62" s="34">
        <v>1</v>
      </c>
      <c r="F62" s="34">
        <v>2</v>
      </c>
      <c r="G62" s="34">
        <v>125000</v>
      </c>
      <c r="H62" s="34">
        <v>2</v>
      </c>
      <c r="I62" s="5">
        <v>25</v>
      </c>
      <c r="J62" s="5">
        <v>0</v>
      </c>
      <c r="K62" s="5">
        <v>0</v>
      </c>
      <c r="L62" s="38">
        <v>40</v>
      </c>
      <c r="M62" s="47">
        <v>36</v>
      </c>
      <c r="N62" s="47">
        <v>31</v>
      </c>
      <c r="O62" s="47">
        <v>22</v>
      </c>
      <c r="P62" s="47">
        <v>10</v>
      </c>
      <c r="Q62" s="47">
        <v>12</v>
      </c>
      <c r="R62" s="47">
        <v>5</v>
      </c>
      <c r="S62" s="47">
        <v>8</v>
      </c>
      <c r="T62" s="47">
        <v>9</v>
      </c>
    </row>
    <row r="63" spans="1:20">
      <c r="A63" s="34">
        <v>29</v>
      </c>
      <c r="B63" s="34">
        <v>0</v>
      </c>
      <c r="C63" s="34">
        <v>5</v>
      </c>
      <c r="D63" s="6">
        <v>3</v>
      </c>
      <c r="E63" s="34">
        <v>1</v>
      </c>
      <c r="F63" s="34">
        <v>2</v>
      </c>
      <c r="G63" s="34">
        <v>50000</v>
      </c>
      <c r="H63" s="34">
        <v>1</v>
      </c>
      <c r="I63" s="5">
        <v>20</v>
      </c>
      <c r="J63" s="5">
        <v>1</v>
      </c>
      <c r="K63" s="5">
        <v>0</v>
      </c>
      <c r="L63" s="38">
        <v>28</v>
      </c>
      <c r="M63" s="47">
        <v>35</v>
      </c>
      <c r="N63" s="47">
        <v>16</v>
      </c>
      <c r="O63" s="47">
        <v>16</v>
      </c>
      <c r="P63" s="47">
        <v>9</v>
      </c>
      <c r="Q63" s="47">
        <v>11</v>
      </c>
      <c r="R63" s="47">
        <v>3</v>
      </c>
      <c r="S63" s="47">
        <v>5</v>
      </c>
      <c r="T63" s="47">
        <v>8</v>
      </c>
    </row>
    <row r="64" spans="1:20">
      <c r="A64" s="34">
        <v>24</v>
      </c>
      <c r="B64" s="34">
        <v>0</v>
      </c>
      <c r="C64" s="34">
        <v>5</v>
      </c>
      <c r="D64" s="6">
        <v>2</v>
      </c>
      <c r="E64" s="34">
        <v>1</v>
      </c>
      <c r="F64" s="34">
        <v>2</v>
      </c>
      <c r="G64" s="34">
        <v>100000</v>
      </c>
      <c r="H64" s="34">
        <v>1</v>
      </c>
      <c r="I64" s="5">
        <v>21</v>
      </c>
      <c r="J64" s="5">
        <v>1</v>
      </c>
      <c r="K64" s="5">
        <v>0</v>
      </c>
      <c r="L64" s="38">
        <v>39</v>
      </c>
      <c r="M64" s="47">
        <v>3</v>
      </c>
      <c r="N64" s="47">
        <v>6</v>
      </c>
      <c r="O64" s="47">
        <v>11</v>
      </c>
      <c r="P64" s="47">
        <v>9</v>
      </c>
      <c r="Q64" s="47">
        <v>12</v>
      </c>
      <c r="R64" s="47">
        <v>5</v>
      </c>
      <c r="S64" s="47">
        <v>2</v>
      </c>
      <c r="T64" s="47">
        <v>4</v>
      </c>
    </row>
    <row r="65" spans="1:20">
      <c r="A65" s="34">
        <v>57</v>
      </c>
      <c r="B65" s="34">
        <v>0</v>
      </c>
      <c r="C65" s="34">
        <v>0</v>
      </c>
      <c r="D65" s="6">
        <v>2</v>
      </c>
      <c r="E65" s="34">
        <v>1</v>
      </c>
      <c r="F65" s="34">
        <v>2</v>
      </c>
      <c r="G65" s="34">
        <v>50000</v>
      </c>
      <c r="H65" s="34">
        <v>1</v>
      </c>
      <c r="I65" s="5">
        <v>21</v>
      </c>
      <c r="J65" s="5">
        <v>1</v>
      </c>
      <c r="K65" s="5">
        <v>0</v>
      </c>
      <c r="L65" s="38">
        <v>28</v>
      </c>
      <c r="M65" s="47">
        <v>9</v>
      </c>
      <c r="N65" s="47">
        <v>3</v>
      </c>
      <c r="O65" s="47">
        <v>8</v>
      </c>
      <c r="P65" s="47">
        <v>1</v>
      </c>
      <c r="Q65" s="47">
        <v>11</v>
      </c>
      <c r="R65" s="47">
        <v>1</v>
      </c>
      <c r="S65" s="47">
        <v>2</v>
      </c>
      <c r="T65" s="47">
        <v>5</v>
      </c>
    </row>
    <row r="66" spans="1:20">
      <c r="A66" s="34">
        <v>23</v>
      </c>
      <c r="B66" s="34">
        <v>1</v>
      </c>
      <c r="C66" s="34">
        <v>7</v>
      </c>
      <c r="D66" s="6">
        <v>1</v>
      </c>
      <c r="E66" s="34">
        <v>1</v>
      </c>
      <c r="F66" s="34">
        <v>2</v>
      </c>
      <c r="G66" s="34">
        <v>300000</v>
      </c>
      <c r="H66" s="34">
        <v>1</v>
      </c>
      <c r="I66" s="5">
        <v>27</v>
      </c>
      <c r="J66" s="5">
        <v>0</v>
      </c>
      <c r="K66" s="5">
        <v>0</v>
      </c>
      <c r="L66" s="38">
        <v>52</v>
      </c>
      <c r="M66" s="47">
        <v>22</v>
      </c>
      <c r="N66" s="47">
        <v>13</v>
      </c>
      <c r="O66" s="47">
        <v>22</v>
      </c>
      <c r="P66" s="47">
        <v>10</v>
      </c>
      <c r="Q66" s="47">
        <v>12</v>
      </c>
      <c r="R66" s="47">
        <v>3</v>
      </c>
      <c r="S66" s="47">
        <v>9</v>
      </c>
      <c r="T66" s="47">
        <v>10</v>
      </c>
    </row>
    <row r="67" spans="1:20">
      <c r="A67" s="34">
        <v>37</v>
      </c>
      <c r="B67" s="34">
        <v>0</v>
      </c>
      <c r="C67" s="34">
        <v>2</v>
      </c>
      <c r="D67" s="6">
        <v>2</v>
      </c>
      <c r="E67" s="34">
        <v>1</v>
      </c>
      <c r="F67" s="34">
        <v>2</v>
      </c>
      <c r="G67" s="34">
        <v>150000</v>
      </c>
      <c r="H67" s="34">
        <v>1</v>
      </c>
      <c r="I67" s="5">
        <v>28</v>
      </c>
      <c r="J67" s="5">
        <v>1</v>
      </c>
      <c r="K67" s="5">
        <v>0</v>
      </c>
      <c r="L67" s="38">
        <v>34</v>
      </c>
      <c r="M67" s="47">
        <v>35</v>
      </c>
      <c r="N67" s="47">
        <v>4</v>
      </c>
      <c r="O67" s="47">
        <v>11</v>
      </c>
      <c r="P67" s="47">
        <v>6</v>
      </c>
      <c r="Q67" s="47">
        <v>11</v>
      </c>
      <c r="R67" s="47">
        <v>3</v>
      </c>
      <c r="S67" s="47">
        <v>3</v>
      </c>
      <c r="T67" s="47">
        <v>5</v>
      </c>
    </row>
    <row r="68" spans="1:20">
      <c r="A68" s="34">
        <v>31</v>
      </c>
      <c r="B68" s="34">
        <v>1</v>
      </c>
      <c r="C68" s="34">
        <v>6</v>
      </c>
      <c r="D68" s="6">
        <v>1</v>
      </c>
      <c r="E68" s="34">
        <v>1</v>
      </c>
      <c r="F68" s="34">
        <v>2</v>
      </c>
      <c r="G68" s="34">
        <v>100000</v>
      </c>
      <c r="H68" s="34">
        <v>1</v>
      </c>
      <c r="I68" s="5">
        <v>28</v>
      </c>
      <c r="J68" s="5">
        <v>0</v>
      </c>
      <c r="K68" s="5">
        <v>0</v>
      </c>
      <c r="L68" s="38">
        <v>33</v>
      </c>
      <c r="M68" s="47">
        <v>30</v>
      </c>
      <c r="N68" s="47">
        <v>18</v>
      </c>
      <c r="O68" s="47">
        <v>18</v>
      </c>
      <c r="P68" s="47">
        <v>8</v>
      </c>
      <c r="Q68" s="47">
        <v>11</v>
      </c>
      <c r="R68" s="47">
        <v>4</v>
      </c>
      <c r="S68" s="47">
        <v>6</v>
      </c>
      <c r="T68" s="47">
        <v>8</v>
      </c>
    </row>
    <row r="69" spans="1:20">
      <c r="A69" s="34">
        <v>33</v>
      </c>
      <c r="B69" s="34">
        <v>1</v>
      </c>
      <c r="C69" s="34">
        <v>5</v>
      </c>
      <c r="D69" s="6">
        <v>3</v>
      </c>
      <c r="E69" s="34">
        <v>1</v>
      </c>
      <c r="F69" s="34">
        <v>2</v>
      </c>
      <c r="G69" s="34">
        <v>300000</v>
      </c>
      <c r="H69" s="34">
        <v>1</v>
      </c>
      <c r="I69" s="5">
        <v>26</v>
      </c>
      <c r="J69" s="5">
        <v>1</v>
      </c>
      <c r="K69" s="5">
        <v>0</v>
      </c>
      <c r="L69" s="38">
        <v>28</v>
      </c>
      <c r="M69" s="47">
        <v>22</v>
      </c>
      <c r="N69" s="47">
        <v>8</v>
      </c>
      <c r="O69" s="47">
        <v>10</v>
      </c>
      <c r="P69" s="47">
        <v>5</v>
      </c>
      <c r="Q69" s="47">
        <v>9</v>
      </c>
      <c r="R69" s="47">
        <v>3</v>
      </c>
      <c r="S69" s="47">
        <v>4</v>
      </c>
      <c r="T69" s="47">
        <v>3</v>
      </c>
    </row>
    <row r="70" spans="1:20">
      <c r="A70" s="34">
        <v>44</v>
      </c>
      <c r="B70" s="34">
        <v>0</v>
      </c>
      <c r="C70" s="34">
        <v>0</v>
      </c>
      <c r="D70" s="6">
        <v>3</v>
      </c>
      <c r="E70" s="34">
        <v>1</v>
      </c>
      <c r="F70" s="34">
        <v>1</v>
      </c>
      <c r="G70" s="34">
        <v>300000</v>
      </c>
      <c r="H70" s="34">
        <v>1</v>
      </c>
      <c r="I70" s="5">
        <v>26</v>
      </c>
      <c r="J70" s="5">
        <v>1</v>
      </c>
      <c r="K70" s="5">
        <v>0</v>
      </c>
      <c r="L70" s="38">
        <v>22</v>
      </c>
      <c r="M70" s="47">
        <v>18</v>
      </c>
      <c r="N70" s="47">
        <v>9</v>
      </c>
      <c r="O70" s="47">
        <v>11</v>
      </c>
      <c r="P70" s="47">
        <v>5</v>
      </c>
      <c r="Q70" s="47">
        <v>8</v>
      </c>
      <c r="R70" s="47">
        <v>4</v>
      </c>
      <c r="S70" s="47">
        <v>3</v>
      </c>
      <c r="T70" s="47">
        <v>4</v>
      </c>
    </row>
    <row r="71" spans="1:20">
      <c r="A71" s="34">
        <v>21</v>
      </c>
      <c r="B71" s="34">
        <v>0</v>
      </c>
      <c r="C71" s="34">
        <v>11</v>
      </c>
      <c r="D71" s="6">
        <v>3</v>
      </c>
      <c r="E71" s="34">
        <v>1</v>
      </c>
      <c r="F71" s="34">
        <v>2</v>
      </c>
      <c r="G71" s="34">
        <v>50000</v>
      </c>
      <c r="H71" s="34">
        <v>1</v>
      </c>
      <c r="I71" s="5">
        <v>24</v>
      </c>
      <c r="J71" s="5">
        <v>0</v>
      </c>
      <c r="K71" s="5">
        <v>0</v>
      </c>
      <c r="L71" s="38">
        <v>55</v>
      </c>
      <c r="M71" s="47">
        <v>35</v>
      </c>
      <c r="N71" s="47">
        <v>32</v>
      </c>
      <c r="O71" s="47">
        <v>22</v>
      </c>
      <c r="P71" s="47">
        <v>12</v>
      </c>
      <c r="Q71" s="47">
        <v>12</v>
      </c>
      <c r="R71" s="47">
        <v>6</v>
      </c>
      <c r="S71" s="47">
        <v>7</v>
      </c>
      <c r="T71" s="47">
        <v>9</v>
      </c>
    </row>
    <row r="72" spans="1:20">
      <c r="A72" s="34">
        <v>36</v>
      </c>
      <c r="B72" s="34">
        <v>0</v>
      </c>
      <c r="C72" s="34">
        <v>3</v>
      </c>
      <c r="D72" s="6">
        <v>3</v>
      </c>
      <c r="E72" s="34">
        <v>1</v>
      </c>
      <c r="F72" s="34">
        <v>1</v>
      </c>
      <c r="G72" s="34">
        <v>150000</v>
      </c>
      <c r="H72" s="34">
        <v>1</v>
      </c>
      <c r="I72" s="5">
        <v>23</v>
      </c>
      <c r="J72" s="5">
        <v>1</v>
      </c>
      <c r="K72" s="5">
        <v>0</v>
      </c>
      <c r="L72" s="38">
        <v>33</v>
      </c>
      <c r="M72" s="47">
        <v>19</v>
      </c>
      <c r="N72" s="47">
        <v>7</v>
      </c>
      <c r="O72" s="47">
        <v>10</v>
      </c>
      <c r="P72" s="47">
        <v>5</v>
      </c>
      <c r="Q72" s="47">
        <v>8</v>
      </c>
      <c r="R72" s="47">
        <v>3</v>
      </c>
      <c r="S72" s="47">
        <v>3</v>
      </c>
      <c r="T72" s="47">
        <v>4</v>
      </c>
    </row>
    <row r="73" spans="1:20">
      <c r="A73" s="34">
        <v>47</v>
      </c>
      <c r="B73" s="34">
        <v>0</v>
      </c>
      <c r="C73" s="34">
        <v>0</v>
      </c>
      <c r="D73" s="6">
        <v>3</v>
      </c>
      <c r="E73" s="34">
        <v>1</v>
      </c>
      <c r="F73" s="34">
        <v>2</v>
      </c>
      <c r="G73" s="34">
        <v>300000</v>
      </c>
      <c r="H73" s="34">
        <v>1</v>
      </c>
      <c r="I73" s="5">
        <v>24</v>
      </c>
      <c r="J73" s="5">
        <v>1</v>
      </c>
      <c r="K73" s="5">
        <v>0</v>
      </c>
      <c r="L73" s="38">
        <v>20</v>
      </c>
      <c r="M73" s="47">
        <v>17</v>
      </c>
      <c r="N73" s="47">
        <v>9</v>
      </c>
      <c r="O73" s="47">
        <v>11</v>
      </c>
      <c r="P73" s="47">
        <v>6</v>
      </c>
      <c r="Q73" s="47">
        <v>10</v>
      </c>
      <c r="R73" s="47">
        <v>2</v>
      </c>
      <c r="S73" s="47">
        <v>4</v>
      </c>
      <c r="T73" s="47">
        <v>5</v>
      </c>
    </row>
    <row r="74" spans="1:20">
      <c r="A74" s="34">
        <v>37</v>
      </c>
      <c r="B74" s="34">
        <v>1</v>
      </c>
      <c r="C74" s="34">
        <v>4</v>
      </c>
      <c r="D74" s="6">
        <v>3</v>
      </c>
      <c r="E74" s="34">
        <v>1</v>
      </c>
      <c r="F74" s="34">
        <v>2</v>
      </c>
      <c r="G74" s="34">
        <v>200000</v>
      </c>
      <c r="H74" s="34">
        <v>2</v>
      </c>
      <c r="I74" s="5">
        <v>25</v>
      </c>
      <c r="J74" s="5">
        <v>1</v>
      </c>
      <c r="K74" s="5">
        <v>0</v>
      </c>
      <c r="L74" s="38">
        <v>28</v>
      </c>
      <c r="M74" s="47">
        <v>12</v>
      </c>
      <c r="N74" s="47">
        <v>6</v>
      </c>
      <c r="O74" s="47">
        <v>10</v>
      </c>
      <c r="P74" s="47">
        <v>4</v>
      </c>
      <c r="Q74" s="47">
        <v>11</v>
      </c>
      <c r="R74" s="47">
        <v>3</v>
      </c>
      <c r="S74" s="47">
        <v>3</v>
      </c>
      <c r="T74" s="47">
        <v>4</v>
      </c>
    </row>
    <row r="75" spans="1:20">
      <c r="A75" s="34">
        <v>59</v>
      </c>
      <c r="B75" s="34">
        <v>0</v>
      </c>
      <c r="C75" s="34">
        <v>0</v>
      </c>
      <c r="D75" s="6">
        <v>2</v>
      </c>
      <c r="E75" s="34">
        <v>1</v>
      </c>
      <c r="F75" s="34">
        <v>2</v>
      </c>
      <c r="G75" s="34">
        <v>100000</v>
      </c>
      <c r="H75" s="34">
        <v>1</v>
      </c>
      <c r="I75" s="5">
        <v>21</v>
      </c>
      <c r="J75" s="5">
        <v>1</v>
      </c>
      <c r="K75" s="5">
        <v>0</v>
      </c>
      <c r="L75" s="38">
        <v>17</v>
      </c>
      <c r="M75" s="47">
        <v>8</v>
      </c>
      <c r="N75" s="47">
        <v>6</v>
      </c>
      <c r="O75" s="47">
        <v>10</v>
      </c>
      <c r="P75" s="47">
        <v>6</v>
      </c>
      <c r="Q75" s="47">
        <v>10</v>
      </c>
      <c r="R75" s="47">
        <v>2</v>
      </c>
      <c r="S75" s="47">
        <v>3</v>
      </c>
      <c r="T75" s="47">
        <v>5</v>
      </c>
    </row>
    <row r="76" spans="1:20">
      <c r="A76" s="34">
        <v>27</v>
      </c>
      <c r="B76" s="34">
        <v>0</v>
      </c>
      <c r="C76" s="34">
        <v>11</v>
      </c>
      <c r="D76" s="6">
        <v>3</v>
      </c>
      <c r="E76" s="34">
        <v>3</v>
      </c>
      <c r="F76" s="34">
        <v>2</v>
      </c>
      <c r="G76" s="34">
        <v>150000</v>
      </c>
      <c r="H76" s="34">
        <v>1</v>
      </c>
      <c r="I76" s="5">
        <v>25</v>
      </c>
      <c r="J76" s="5">
        <v>0</v>
      </c>
      <c r="K76" s="5">
        <v>0</v>
      </c>
      <c r="L76" s="38">
        <v>57</v>
      </c>
      <c r="M76" s="47">
        <v>32</v>
      </c>
      <c r="N76" s="47">
        <v>28</v>
      </c>
      <c r="O76" s="47">
        <v>15</v>
      </c>
      <c r="P76" s="47">
        <v>7</v>
      </c>
      <c r="Q76" s="47">
        <v>10</v>
      </c>
      <c r="R76" s="47">
        <v>4</v>
      </c>
      <c r="S76" s="47">
        <v>5</v>
      </c>
      <c r="T76" s="47">
        <v>6</v>
      </c>
    </row>
    <row r="77" spans="1:20">
      <c r="A77" s="34">
        <v>29</v>
      </c>
      <c r="B77" s="34">
        <v>0</v>
      </c>
      <c r="C77" s="34">
        <v>11</v>
      </c>
      <c r="D77" s="6">
        <v>3</v>
      </c>
      <c r="E77" s="34">
        <v>1</v>
      </c>
      <c r="F77" s="34">
        <v>1</v>
      </c>
      <c r="G77" s="34">
        <v>250000</v>
      </c>
      <c r="H77" s="34">
        <v>1</v>
      </c>
      <c r="I77" s="5">
        <v>24</v>
      </c>
      <c r="J77" s="5">
        <v>0</v>
      </c>
      <c r="K77" s="5">
        <v>0</v>
      </c>
      <c r="L77" s="38">
        <v>49</v>
      </c>
      <c r="M77" s="36">
        <v>36</v>
      </c>
      <c r="N77" s="36">
        <v>32</v>
      </c>
      <c r="O77" s="36">
        <v>21</v>
      </c>
      <c r="P77" s="36">
        <v>8</v>
      </c>
      <c r="Q77" s="36">
        <v>12</v>
      </c>
      <c r="R77" s="36">
        <v>5</v>
      </c>
      <c r="S77" s="36">
        <v>8</v>
      </c>
      <c r="T77" s="36">
        <v>8</v>
      </c>
    </row>
    <row r="78" spans="1:20">
      <c r="A78" s="34">
        <v>31</v>
      </c>
      <c r="B78" s="34">
        <v>0</v>
      </c>
      <c r="C78" s="34">
        <v>0</v>
      </c>
      <c r="D78" s="6">
        <v>3</v>
      </c>
      <c r="E78" s="34">
        <v>1</v>
      </c>
      <c r="F78" s="34">
        <v>1</v>
      </c>
      <c r="G78" s="34">
        <v>300000</v>
      </c>
      <c r="H78" s="34">
        <v>1</v>
      </c>
      <c r="I78" s="5">
        <v>26</v>
      </c>
      <c r="J78" s="5">
        <v>1</v>
      </c>
      <c r="K78" s="5">
        <v>0</v>
      </c>
      <c r="L78" s="38">
        <v>27</v>
      </c>
      <c r="M78" s="47">
        <v>12</v>
      </c>
      <c r="N78" s="47">
        <v>8</v>
      </c>
      <c r="O78" s="47">
        <v>10</v>
      </c>
      <c r="P78" s="47">
        <v>4</v>
      </c>
      <c r="Q78" s="47">
        <v>9</v>
      </c>
      <c r="R78" s="47">
        <v>2</v>
      </c>
      <c r="S78" s="47">
        <v>4</v>
      </c>
      <c r="T78" s="47">
        <v>4</v>
      </c>
    </row>
    <row r="79" spans="1:20">
      <c r="A79" s="34">
        <v>35</v>
      </c>
      <c r="B79" s="34">
        <v>1</v>
      </c>
      <c r="C79" s="34">
        <v>5</v>
      </c>
      <c r="D79" s="6">
        <v>3</v>
      </c>
      <c r="E79" s="34">
        <v>1</v>
      </c>
      <c r="F79" s="34">
        <v>2</v>
      </c>
      <c r="G79" s="34">
        <v>50000</v>
      </c>
      <c r="H79" s="34">
        <v>1</v>
      </c>
      <c r="I79" s="5">
        <v>26</v>
      </c>
      <c r="J79" s="5">
        <v>1</v>
      </c>
      <c r="K79" s="5">
        <v>0</v>
      </c>
      <c r="L79" s="38">
        <v>42</v>
      </c>
      <c r="M79" s="47">
        <v>35</v>
      </c>
      <c r="N79" s="47">
        <v>34</v>
      </c>
      <c r="O79" s="47">
        <v>10</v>
      </c>
      <c r="P79" s="47">
        <v>5</v>
      </c>
      <c r="Q79" s="47">
        <v>11</v>
      </c>
      <c r="R79" s="47">
        <v>2</v>
      </c>
      <c r="S79" s="47">
        <v>3</v>
      </c>
      <c r="T79" s="47">
        <v>5</v>
      </c>
    </row>
    <row r="80" spans="1:20">
      <c r="A80" s="34">
        <v>49</v>
      </c>
      <c r="B80" s="34">
        <v>1</v>
      </c>
      <c r="C80" s="34">
        <v>5</v>
      </c>
      <c r="D80" s="6">
        <v>4</v>
      </c>
      <c r="E80" s="34">
        <v>1</v>
      </c>
      <c r="F80" s="34">
        <v>2</v>
      </c>
      <c r="G80" s="34">
        <v>200000</v>
      </c>
      <c r="H80" s="34">
        <v>1</v>
      </c>
      <c r="I80" s="5">
        <v>25</v>
      </c>
      <c r="J80" s="5">
        <v>1</v>
      </c>
      <c r="K80" s="5">
        <v>0</v>
      </c>
      <c r="L80" s="38">
        <v>29</v>
      </c>
      <c r="M80" s="47">
        <v>24</v>
      </c>
      <c r="N80" s="47">
        <v>18</v>
      </c>
      <c r="O80" s="47">
        <v>12</v>
      </c>
      <c r="P80" s="47">
        <v>1</v>
      </c>
      <c r="Q80" s="47">
        <v>10</v>
      </c>
      <c r="R80" s="47">
        <v>5</v>
      </c>
      <c r="S80" s="47">
        <v>3</v>
      </c>
      <c r="T80" s="47">
        <v>4</v>
      </c>
    </row>
    <row r="81" spans="1:20">
      <c r="A81" s="34">
        <v>18</v>
      </c>
      <c r="B81" s="34">
        <v>1</v>
      </c>
      <c r="C81" s="34">
        <v>9</v>
      </c>
      <c r="D81" s="6">
        <v>4</v>
      </c>
      <c r="E81" s="34">
        <v>1</v>
      </c>
      <c r="F81" s="34">
        <v>2</v>
      </c>
      <c r="G81" s="34">
        <v>600000</v>
      </c>
      <c r="H81" s="34">
        <v>1</v>
      </c>
      <c r="I81" s="5">
        <v>25</v>
      </c>
      <c r="J81" s="5">
        <v>0</v>
      </c>
      <c r="K81" s="5">
        <v>1</v>
      </c>
      <c r="L81" s="38">
        <v>45</v>
      </c>
      <c r="M81" s="47">
        <v>36</v>
      </c>
      <c r="N81" s="47">
        <v>23</v>
      </c>
      <c r="O81" s="47">
        <v>22</v>
      </c>
      <c r="P81" s="47">
        <v>8</v>
      </c>
      <c r="Q81" s="47">
        <v>12</v>
      </c>
      <c r="R81" s="47">
        <v>5</v>
      </c>
      <c r="S81" s="47">
        <v>8</v>
      </c>
      <c r="T81" s="47">
        <v>9</v>
      </c>
    </row>
    <row r="82" spans="1:20">
      <c r="A82" s="34">
        <v>56</v>
      </c>
      <c r="B82" s="34">
        <v>1</v>
      </c>
      <c r="C82" s="34">
        <v>0</v>
      </c>
      <c r="D82" s="6">
        <v>1</v>
      </c>
      <c r="E82" s="34">
        <v>1</v>
      </c>
      <c r="F82" s="34">
        <v>2</v>
      </c>
      <c r="G82" s="34">
        <v>400000</v>
      </c>
      <c r="H82" s="34">
        <v>1</v>
      </c>
      <c r="I82" s="5">
        <v>28</v>
      </c>
      <c r="J82" s="5">
        <v>1</v>
      </c>
      <c r="K82" s="5">
        <v>0</v>
      </c>
      <c r="L82" s="38">
        <v>36</v>
      </c>
      <c r="M82" s="47">
        <v>5</v>
      </c>
      <c r="N82" s="47">
        <v>0</v>
      </c>
      <c r="O82" s="47">
        <v>13</v>
      </c>
      <c r="P82" s="47">
        <v>6</v>
      </c>
      <c r="Q82" s="47">
        <v>10</v>
      </c>
      <c r="R82" s="47">
        <v>3</v>
      </c>
      <c r="S82" s="47">
        <v>5</v>
      </c>
      <c r="T82" s="47">
        <v>5</v>
      </c>
    </row>
    <row r="83" spans="1:20">
      <c r="A83" s="34">
        <v>22</v>
      </c>
      <c r="B83" s="34">
        <v>1</v>
      </c>
      <c r="C83" s="34">
        <v>9</v>
      </c>
      <c r="D83" s="6">
        <v>1</v>
      </c>
      <c r="E83" s="34">
        <v>2</v>
      </c>
      <c r="F83" s="34">
        <v>2</v>
      </c>
      <c r="G83" s="34">
        <v>50000</v>
      </c>
      <c r="H83" s="34">
        <v>1</v>
      </c>
      <c r="I83" s="5">
        <v>22</v>
      </c>
      <c r="J83" s="5">
        <v>0</v>
      </c>
      <c r="K83" s="5">
        <v>1</v>
      </c>
      <c r="L83" s="38">
        <v>40</v>
      </c>
      <c r="M83" s="47">
        <v>33</v>
      </c>
      <c r="N83" s="47">
        <v>21</v>
      </c>
      <c r="O83" s="47">
        <v>26</v>
      </c>
      <c r="P83" s="47">
        <v>10</v>
      </c>
      <c r="Q83" s="47">
        <v>12</v>
      </c>
      <c r="R83" s="47">
        <v>7</v>
      </c>
      <c r="S83" s="47">
        <v>9</v>
      </c>
      <c r="T83" s="47">
        <v>10</v>
      </c>
    </row>
    <row r="84" spans="1:20">
      <c r="A84" s="34">
        <v>38</v>
      </c>
      <c r="B84" s="34">
        <v>1</v>
      </c>
      <c r="C84" s="34">
        <v>3</v>
      </c>
      <c r="D84" s="6">
        <v>3</v>
      </c>
      <c r="E84" s="34">
        <v>1</v>
      </c>
      <c r="F84" s="34">
        <v>2</v>
      </c>
      <c r="G84" s="34">
        <v>300000</v>
      </c>
      <c r="H84" s="34">
        <v>1</v>
      </c>
      <c r="I84" s="5">
        <v>22</v>
      </c>
      <c r="J84" s="5">
        <v>1</v>
      </c>
      <c r="K84" s="5">
        <v>0</v>
      </c>
      <c r="L84" s="38">
        <v>36</v>
      </c>
      <c r="M84" s="47">
        <v>36</v>
      </c>
      <c r="N84" s="47">
        <v>30</v>
      </c>
      <c r="O84" s="47">
        <v>20</v>
      </c>
      <c r="P84" s="47">
        <v>9</v>
      </c>
      <c r="Q84" s="47">
        <v>11</v>
      </c>
      <c r="R84" s="47">
        <v>4</v>
      </c>
      <c r="S84" s="47">
        <v>7</v>
      </c>
      <c r="T84" s="47">
        <v>9</v>
      </c>
    </row>
    <row r="85" spans="1:20">
      <c r="A85" s="34">
        <v>20</v>
      </c>
      <c r="B85" s="34">
        <v>0</v>
      </c>
      <c r="C85" s="34">
        <v>9</v>
      </c>
      <c r="D85" s="6">
        <v>3</v>
      </c>
      <c r="E85" s="34">
        <v>3</v>
      </c>
      <c r="F85" s="34">
        <v>2</v>
      </c>
      <c r="G85" s="34">
        <v>150000</v>
      </c>
      <c r="H85" s="34">
        <v>1</v>
      </c>
      <c r="I85" s="5">
        <v>20</v>
      </c>
      <c r="J85" s="5">
        <v>0</v>
      </c>
      <c r="K85" s="5">
        <v>0</v>
      </c>
      <c r="L85" s="38">
        <v>46</v>
      </c>
      <c r="M85" s="47">
        <v>33</v>
      </c>
      <c r="N85" s="47">
        <v>28</v>
      </c>
      <c r="O85" s="47">
        <v>21</v>
      </c>
      <c r="P85" s="47">
        <v>9</v>
      </c>
      <c r="Q85" s="47">
        <v>9</v>
      </c>
      <c r="R85" s="47">
        <v>6</v>
      </c>
      <c r="S85" s="47">
        <v>5</v>
      </c>
      <c r="T85" s="47">
        <v>10</v>
      </c>
    </row>
    <row r="86" spans="1:20">
      <c r="A86" s="34">
        <v>29</v>
      </c>
      <c r="B86" s="34">
        <v>1</v>
      </c>
      <c r="C86" s="34">
        <v>9</v>
      </c>
      <c r="D86" s="6">
        <v>1</v>
      </c>
      <c r="E86" s="34">
        <v>1</v>
      </c>
      <c r="F86" s="34">
        <v>2</v>
      </c>
      <c r="G86" s="34">
        <v>100000</v>
      </c>
      <c r="H86" s="34">
        <v>2</v>
      </c>
      <c r="I86" s="5">
        <v>25</v>
      </c>
      <c r="J86" s="5">
        <v>0</v>
      </c>
      <c r="K86" s="5">
        <v>0</v>
      </c>
      <c r="L86" s="38">
        <v>34</v>
      </c>
      <c r="M86" s="47">
        <v>31</v>
      </c>
      <c r="N86" s="47">
        <v>22</v>
      </c>
      <c r="O86" s="47">
        <v>23</v>
      </c>
      <c r="P86" s="47">
        <v>11</v>
      </c>
      <c r="Q86" s="47">
        <v>11</v>
      </c>
      <c r="R86" s="47">
        <v>6</v>
      </c>
      <c r="S86" s="47">
        <v>8</v>
      </c>
      <c r="T86" s="47">
        <v>9</v>
      </c>
    </row>
    <row r="87" spans="1:20">
      <c r="A87" s="34">
        <v>33</v>
      </c>
      <c r="B87" s="34">
        <v>1</v>
      </c>
      <c r="C87" s="34">
        <v>13</v>
      </c>
      <c r="D87" s="6">
        <v>4</v>
      </c>
      <c r="E87" s="34">
        <v>1</v>
      </c>
      <c r="F87" s="34">
        <v>2</v>
      </c>
      <c r="G87" s="34">
        <v>850000</v>
      </c>
      <c r="H87" s="34">
        <v>2</v>
      </c>
      <c r="I87" s="5">
        <v>23</v>
      </c>
      <c r="J87" s="5">
        <v>0</v>
      </c>
      <c r="K87" s="5">
        <v>1</v>
      </c>
      <c r="L87" s="38">
        <v>47</v>
      </c>
      <c r="M87" s="47">
        <v>32</v>
      </c>
      <c r="N87" s="47">
        <v>27</v>
      </c>
      <c r="O87" s="47">
        <v>20</v>
      </c>
      <c r="P87" s="47">
        <v>9</v>
      </c>
      <c r="Q87" s="47">
        <v>11</v>
      </c>
      <c r="R87" s="47">
        <v>4</v>
      </c>
      <c r="S87" s="47">
        <v>5</v>
      </c>
      <c r="T87" s="47">
        <v>11</v>
      </c>
    </row>
    <row r="88" spans="1:20">
      <c r="A88" s="34">
        <v>25</v>
      </c>
      <c r="B88" s="34">
        <v>0</v>
      </c>
      <c r="C88" s="34">
        <v>11</v>
      </c>
      <c r="D88" s="6">
        <v>3</v>
      </c>
      <c r="E88" s="34">
        <v>1</v>
      </c>
      <c r="F88" s="34">
        <v>2</v>
      </c>
      <c r="G88" s="34">
        <v>100000</v>
      </c>
      <c r="H88" s="34">
        <v>1</v>
      </c>
      <c r="I88" s="5">
        <v>26</v>
      </c>
      <c r="J88" s="5">
        <v>0</v>
      </c>
      <c r="K88" s="5">
        <v>0</v>
      </c>
      <c r="L88" s="38">
        <v>33</v>
      </c>
      <c r="M88" s="47">
        <v>34</v>
      </c>
      <c r="N88" s="47">
        <v>14</v>
      </c>
      <c r="O88" s="47">
        <v>18</v>
      </c>
      <c r="P88" s="47">
        <v>7</v>
      </c>
      <c r="Q88" s="47">
        <v>10</v>
      </c>
      <c r="R88" s="47">
        <v>6</v>
      </c>
      <c r="S88" s="47">
        <v>5</v>
      </c>
      <c r="T88" s="47">
        <v>7</v>
      </c>
    </row>
    <row r="89" spans="1:20">
      <c r="A89" s="34">
        <v>22</v>
      </c>
      <c r="B89" s="34">
        <v>1</v>
      </c>
      <c r="C89" s="34">
        <v>8</v>
      </c>
      <c r="D89" s="6">
        <v>3</v>
      </c>
      <c r="E89" s="34">
        <v>1</v>
      </c>
      <c r="F89" s="34">
        <v>2</v>
      </c>
      <c r="G89" s="34">
        <v>120000</v>
      </c>
      <c r="H89" s="34">
        <v>2</v>
      </c>
      <c r="I89" s="5">
        <v>25</v>
      </c>
      <c r="J89" s="5">
        <v>0</v>
      </c>
      <c r="K89" s="5">
        <v>0</v>
      </c>
      <c r="L89" s="38">
        <v>36</v>
      </c>
      <c r="M89" s="47">
        <v>30</v>
      </c>
      <c r="N89" s="47">
        <v>22</v>
      </c>
      <c r="O89" s="47">
        <v>14</v>
      </c>
      <c r="P89" s="47">
        <v>2</v>
      </c>
      <c r="Q89" s="47">
        <v>12</v>
      </c>
      <c r="R89" s="47">
        <v>3</v>
      </c>
      <c r="S89" s="47">
        <v>6</v>
      </c>
      <c r="T89" s="47">
        <v>5</v>
      </c>
    </row>
    <row r="99" spans="18:19">
      <c r="R99" s="77"/>
      <c r="S99" s="75"/>
    </row>
    <row r="100" spans="18:19">
      <c r="R100" s="73"/>
      <c r="S100" s="76">
        <v>41</v>
      </c>
    </row>
    <row r="101" spans="18:19">
      <c r="R101" s="63"/>
    </row>
  </sheetData>
  <dataValidations count="2">
    <dataValidation type="whole" allowBlank="1" showInputMessage="1" showErrorMessage="1" sqref="M2:N7 M35:N37 M39:N39 M78:N86 M59:N62 M27:N33" xr:uid="{00000000-0002-0000-0000-000000000000}">
      <formula1>0</formula1>
      <formula2>36</formula2>
    </dataValidation>
    <dataValidation type="whole" allowBlank="1" showInputMessage="1" showErrorMessage="1" sqref="P2:T7 P78:T86 P59:T62" xr:uid="{00000000-0002-0000-0000-000001000000}">
      <formula1>0</formula1>
      <formula2>12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A105"/>
  <sheetViews>
    <sheetView tabSelected="1" topLeftCell="AU1" zoomScale="145" zoomScaleNormal="145" workbookViewId="0">
      <selection activeCell="BB6" sqref="BB6:BV19"/>
    </sheetView>
  </sheetViews>
  <sheetFormatPr baseColWidth="10" defaultColWidth="33.42578125" defaultRowHeight="15"/>
  <cols>
    <col min="1" max="1" width="25.5703125" customWidth="1"/>
    <col min="2" max="2" width="8" customWidth="1"/>
    <col min="3" max="3" width="8" style="35" customWidth="1"/>
    <col min="4" max="4" width="8" customWidth="1"/>
    <col min="5" max="5" width="8" style="35" customWidth="1"/>
    <col min="6" max="7" width="9.85546875" style="35" customWidth="1"/>
    <col min="8" max="8" width="13.28515625" style="35" customWidth="1"/>
    <col min="9" max="9" width="13.28515625" customWidth="1"/>
    <col min="10" max="10" width="12.42578125" bestFit="1" customWidth="1"/>
    <col min="11" max="11" width="5.42578125" style="60" customWidth="1"/>
    <col min="12" max="12" width="1.85546875" style="60" customWidth="1"/>
    <col min="13" max="13" width="4.28515625" style="60" customWidth="1"/>
    <col min="14" max="14" width="5.42578125" style="60" customWidth="1"/>
    <col min="15" max="15" width="1.85546875" style="60" customWidth="1"/>
    <col min="16" max="16" width="4.28515625" style="60" customWidth="1"/>
    <col min="17" max="17" width="5.42578125" style="60" customWidth="1"/>
    <col min="18" max="18" width="1.85546875" style="60" customWidth="1"/>
    <col min="19" max="19" width="4.28515625" style="60" customWidth="1"/>
    <col min="20" max="20" width="5.42578125" style="60" customWidth="1"/>
    <col min="21" max="21" width="1.85546875" style="60" customWidth="1"/>
    <col min="22" max="22" width="4.28515625" style="60" customWidth="1"/>
    <col min="23" max="23" width="5.42578125" style="60" customWidth="1"/>
    <col min="24" max="24" width="1.85546875" style="60" customWidth="1"/>
    <col min="25" max="25" width="4.28515625" style="60" customWidth="1"/>
    <col min="26" max="26" width="5.42578125" style="60" customWidth="1"/>
    <col min="27" max="27" width="1.85546875" style="60" customWidth="1"/>
    <col min="28" max="28" width="4.28515625" style="60" customWidth="1"/>
    <col min="29" max="29" width="5.42578125" style="60" customWidth="1"/>
    <col min="30" max="30" width="1.85546875" style="60" customWidth="1"/>
    <col min="31" max="31" width="4.28515625" style="60" customWidth="1"/>
    <col min="32" max="32" width="5.42578125" style="60" customWidth="1"/>
    <col min="33" max="33" width="1.85546875" style="60" customWidth="1"/>
    <col min="34" max="34" width="4.28515625" style="60" customWidth="1"/>
    <col min="35" max="35" width="5.42578125" style="60" customWidth="1"/>
    <col min="36" max="36" width="1.85546875" style="60" customWidth="1"/>
    <col min="37" max="37" width="4.28515625" style="60" customWidth="1"/>
    <col min="38" max="38" width="5.42578125" style="60" customWidth="1"/>
    <col min="39" max="39" width="1.85546875" style="60" customWidth="1"/>
    <col min="40" max="40" width="4.28515625" style="60" customWidth="1"/>
    <col min="41" max="41" width="13.28515625" style="60" customWidth="1"/>
    <col min="42" max="42" width="13.28515625" style="80" customWidth="1"/>
    <col min="43" max="43" width="15" style="80" customWidth="1"/>
    <col min="44" max="44" width="5.28515625" style="155" customWidth="1"/>
    <col min="45" max="45" width="1.85546875" style="159" customWidth="1"/>
    <col min="46" max="48" width="5.28515625" style="155" customWidth="1"/>
    <col min="49" max="49" width="1.85546875" style="159" customWidth="1"/>
    <col min="50" max="50" width="5.28515625" style="155" customWidth="1"/>
    <col min="51" max="51" width="13.28515625" style="80" customWidth="1"/>
    <col min="52" max="52" width="13.28515625" customWidth="1"/>
    <col min="53" max="53" width="24.42578125" customWidth="1"/>
    <col min="54" max="54" width="5.5703125" customWidth="1"/>
    <col min="55" max="55" width="6.7109375" style="80" customWidth="1"/>
    <col min="56" max="56" width="4.5703125" customWidth="1"/>
    <col min="57" max="57" width="8.140625" style="80" customWidth="1"/>
    <col min="58" max="58" width="4.5703125" customWidth="1"/>
    <col min="59" max="59" width="7.7109375" customWidth="1"/>
    <col min="60" max="60" width="6.7109375" customWidth="1"/>
    <col min="61" max="61" width="8.140625" style="80" customWidth="1"/>
    <col min="62" max="62" width="4.5703125" customWidth="1"/>
    <col min="63" max="63" width="6.7109375" customWidth="1"/>
    <col min="64" max="64" width="4.28515625" customWidth="1"/>
    <col min="65" max="65" width="7.7109375" style="80" customWidth="1"/>
    <col min="66" max="66" width="4.5703125" customWidth="1"/>
    <col min="67" max="67" width="6.7109375" customWidth="1"/>
    <col min="68" max="68" width="4" customWidth="1"/>
    <col min="69" max="69" width="7.85546875" style="80" customWidth="1"/>
    <col min="70" max="70" width="4.5703125" customWidth="1"/>
    <col min="71" max="71" width="6.7109375" customWidth="1"/>
    <col min="72" max="72" width="7.42578125" hidden="1" customWidth="1"/>
    <col min="73" max="73" width="9.140625" style="80" hidden="1" customWidth="1"/>
    <col min="76" max="76" width="13.7109375" customWidth="1"/>
    <col min="77" max="77" width="16.140625" customWidth="1"/>
    <col min="78" max="79" width="13.7109375" customWidth="1"/>
  </cols>
  <sheetData>
    <row r="1" spans="1:79">
      <c r="A1" s="274" t="s">
        <v>59</v>
      </c>
      <c r="B1" s="274"/>
      <c r="C1" s="274"/>
      <c r="D1" s="274"/>
      <c r="E1" s="274"/>
      <c r="F1" s="274"/>
      <c r="G1" s="274"/>
      <c r="J1" s="280" t="s">
        <v>352</v>
      </c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168"/>
      <c r="AP1" s="91"/>
      <c r="AQ1" s="271" t="s">
        <v>266</v>
      </c>
      <c r="AR1" s="271"/>
      <c r="AS1" s="271"/>
      <c r="AT1" s="271"/>
      <c r="AU1" s="271"/>
      <c r="AV1" s="271"/>
      <c r="AW1" s="271"/>
      <c r="AX1" s="271"/>
      <c r="AY1" s="91"/>
      <c r="BA1" s="271" t="s">
        <v>351</v>
      </c>
      <c r="BB1" s="271"/>
      <c r="BC1" s="271"/>
      <c r="BD1" s="271"/>
      <c r="BE1" s="271"/>
      <c r="BF1" s="271"/>
      <c r="BG1" s="271"/>
      <c r="BH1" s="271"/>
      <c r="BI1" s="271"/>
      <c r="BJ1" s="271"/>
      <c r="BK1" s="271"/>
      <c r="BL1" s="271"/>
      <c r="BM1" s="271"/>
      <c r="BN1" s="271"/>
      <c r="BO1" s="271"/>
      <c r="BP1" s="271"/>
      <c r="BQ1" s="271"/>
      <c r="BR1" s="271"/>
      <c r="BS1" s="271"/>
      <c r="BT1" s="271"/>
      <c r="BU1" s="271"/>
    </row>
    <row r="2" spans="1:79">
      <c r="A2" s="276" t="s">
        <v>33</v>
      </c>
      <c r="B2" s="276" t="s">
        <v>34</v>
      </c>
      <c r="C2" s="276"/>
      <c r="D2" s="276" t="s">
        <v>35</v>
      </c>
      <c r="E2" s="276"/>
      <c r="F2" s="276" t="s">
        <v>32</v>
      </c>
      <c r="G2" s="276"/>
      <c r="H2" s="56"/>
      <c r="J2" s="281" t="s">
        <v>60</v>
      </c>
      <c r="K2" s="281" t="s">
        <v>142</v>
      </c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 t="s">
        <v>145</v>
      </c>
      <c r="X2" s="281"/>
      <c r="Y2" s="281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47"/>
      <c r="AP2" s="84"/>
      <c r="AQ2" s="152" t="s">
        <v>310</v>
      </c>
      <c r="AR2" s="273" t="s">
        <v>267</v>
      </c>
      <c r="AS2" s="273"/>
      <c r="AT2" s="273"/>
      <c r="AU2" s="273"/>
      <c r="AV2" s="273"/>
      <c r="AW2" s="273"/>
      <c r="AX2" s="273"/>
      <c r="AY2" s="84"/>
      <c r="BA2" s="281" t="s">
        <v>60</v>
      </c>
      <c r="BB2" s="281" t="s">
        <v>142</v>
      </c>
      <c r="BC2" s="281"/>
      <c r="BD2" s="281"/>
      <c r="BE2" s="281"/>
      <c r="BF2" s="281"/>
      <c r="BG2" s="281"/>
      <c r="BH2" s="281"/>
      <c r="BI2" s="281"/>
      <c r="BJ2" s="281" t="s">
        <v>145</v>
      </c>
      <c r="BK2" s="281"/>
      <c r="BL2" s="281"/>
      <c r="BM2" s="281"/>
      <c r="BN2" s="281"/>
      <c r="BO2" s="281"/>
      <c r="BP2" s="281"/>
      <c r="BQ2" s="281"/>
      <c r="BR2" s="281"/>
      <c r="BS2" s="281"/>
      <c r="BT2" s="281"/>
      <c r="BU2" s="281"/>
      <c r="BX2" t="s">
        <v>591</v>
      </c>
      <c r="BY2" t="s">
        <v>592</v>
      </c>
      <c r="BZ2" t="s">
        <v>593</v>
      </c>
      <c r="CA2" t="s">
        <v>594</v>
      </c>
    </row>
    <row r="3" spans="1:79" ht="15" customHeight="1">
      <c r="A3" s="277"/>
      <c r="B3" s="94" t="s">
        <v>36</v>
      </c>
      <c r="C3" s="94" t="s">
        <v>141</v>
      </c>
      <c r="D3" s="94" t="s">
        <v>37</v>
      </c>
      <c r="E3" s="94" t="s">
        <v>141</v>
      </c>
      <c r="F3" s="94" t="s">
        <v>155</v>
      </c>
      <c r="G3" s="94" t="s">
        <v>141</v>
      </c>
      <c r="H3" s="56"/>
      <c r="J3" s="284"/>
      <c r="K3" s="284" t="s">
        <v>143</v>
      </c>
      <c r="L3" s="284"/>
      <c r="M3" s="284"/>
      <c r="N3" s="284"/>
      <c r="O3" s="284"/>
      <c r="P3" s="284"/>
      <c r="Q3" s="284" t="s">
        <v>144</v>
      </c>
      <c r="R3" s="284"/>
      <c r="S3" s="284"/>
      <c r="T3" s="284"/>
      <c r="U3" s="284"/>
      <c r="V3" s="284"/>
      <c r="W3" s="278" t="s">
        <v>130</v>
      </c>
      <c r="X3" s="278"/>
      <c r="Y3" s="278"/>
      <c r="Z3" s="278"/>
      <c r="AA3" s="278"/>
      <c r="AB3" s="278"/>
      <c r="AC3" s="278" t="s">
        <v>113</v>
      </c>
      <c r="AD3" s="278"/>
      <c r="AE3" s="278"/>
      <c r="AF3" s="278"/>
      <c r="AG3" s="278"/>
      <c r="AH3" s="278"/>
      <c r="AI3" s="278" t="s">
        <v>129</v>
      </c>
      <c r="AJ3" s="278"/>
      <c r="AK3" s="278"/>
      <c r="AL3" s="278"/>
      <c r="AM3" s="278"/>
      <c r="AN3" s="278"/>
      <c r="AO3" s="248"/>
      <c r="AP3" s="62"/>
      <c r="AQ3" s="105"/>
      <c r="AR3" s="272" t="s">
        <v>61</v>
      </c>
      <c r="AS3" s="272"/>
      <c r="AT3" s="272"/>
      <c r="AU3" s="166"/>
      <c r="AV3" s="272" t="s">
        <v>62</v>
      </c>
      <c r="AW3" s="272"/>
      <c r="AX3" s="272"/>
      <c r="AY3" s="62"/>
      <c r="AZ3" s="154"/>
      <c r="BA3" s="286"/>
      <c r="BB3" s="284" t="s">
        <v>366</v>
      </c>
      <c r="BC3" s="284"/>
      <c r="BD3" s="284"/>
      <c r="BE3" s="284"/>
      <c r="BF3" s="284" t="s">
        <v>144</v>
      </c>
      <c r="BG3" s="284"/>
      <c r="BH3" s="284"/>
      <c r="BI3" s="284"/>
      <c r="BJ3" s="278" t="s">
        <v>320</v>
      </c>
      <c r="BK3" s="278"/>
      <c r="BL3" s="278"/>
      <c r="BM3" s="278"/>
      <c r="BN3" s="278" t="s">
        <v>321</v>
      </c>
      <c r="BO3" s="278"/>
      <c r="BP3" s="278"/>
      <c r="BQ3" s="278"/>
      <c r="BR3" s="278" t="s">
        <v>401</v>
      </c>
      <c r="BS3" s="278"/>
      <c r="BT3" s="278"/>
      <c r="BU3" s="278"/>
      <c r="BW3">
        <v>12</v>
      </c>
      <c r="BX3" t="s">
        <v>595</v>
      </c>
      <c r="BY3" s="80" t="s">
        <v>596</v>
      </c>
      <c r="BZ3" s="80" t="s">
        <v>597</v>
      </c>
      <c r="CA3" s="80" t="s">
        <v>598</v>
      </c>
    </row>
    <row r="4" spans="1:79">
      <c r="A4" s="275" t="s">
        <v>131</v>
      </c>
      <c r="B4" s="275"/>
      <c r="C4" s="275"/>
      <c r="D4" s="275"/>
      <c r="E4" s="275"/>
      <c r="F4" s="275"/>
      <c r="G4" s="275"/>
      <c r="H4" s="57"/>
      <c r="J4" s="105"/>
      <c r="K4" s="279" t="s">
        <v>61</v>
      </c>
      <c r="L4" s="279"/>
      <c r="M4" s="279"/>
      <c r="N4" s="279" t="s">
        <v>62</v>
      </c>
      <c r="O4" s="279"/>
      <c r="P4" s="279"/>
      <c r="Q4" s="279" t="s">
        <v>61</v>
      </c>
      <c r="R4" s="279"/>
      <c r="S4" s="279"/>
      <c r="T4" s="279" t="s">
        <v>62</v>
      </c>
      <c r="U4" s="279"/>
      <c r="V4" s="279"/>
      <c r="W4" s="279" t="s">
        <v>61</v>
      </c>
      <c r="X4" s="279"/>
      <c r="Y4" s="279"/>
      <c r="Z4" s="279" t="s">
        <v>62</v>
      </c>
      <c r="AA4" s="279"/>
      <c r="AB4" s="279"/>
      <c r="AC4" s="279" t="s">
        <v>61</v>
      </c>
      <c r="AD4" s="279"/>
      <c r="AE4" s="279"/>
      <c r="AF4" s="279" t="s">
        <v>62</v>
      </c>
      <c r="AG4" s="279"/>
      <c r="AH4" s="279"/>
      <c r="AI4" s="279" t="s">
        <v>61</v>
      </c>
      <c r="AJ4" s="279"/>
      <c r="AK4" s="279"/>
      <c r="AL4" s="279" t="s">
        <v>62</v>
      </c>
      <c r="AM4" s="279"/>
      <c r="AN4" s="279"/>
      <c r="AO4" s="249"/>
      <c r="AP4" s="87"/>
      <c r="AQ4" s="270" t="s">
        <v>0</v>
      </c>
      <c r="AR4" s="270"/>
      <c r="AS4" s="270"/>
      <c r="AT4" s="270"/>
      <c r="AU4" s="270"/>
      <c r="AV4" s="270"/>
      <c r="AW4" s="270"/>
      <c r="AX4" s="270"/>
      <c r="AY4" s="87"/>
      <c r="AZ4" s="80"/>
      <c r="BA4" s="286"/>
      <c r="BB4" s="285" t="s">
        <v>311</v>
      </c>
      <c r="BC4" s="285"/>
      <c r="BD4" s="285" t="s">
        <v>312</v>
      </c>
      <c r="BE4" s="285"/>
      <c r="BF4" s="285" t="s">
        <v>311</v>
      </c>
      <c r="BG4" s="285"/>
      <c r="BH4" s="285" t="s">
        <v>312</v>
      </c>
      <c r="BI4" s="285"/>
      <c r="BJ4" s="285" t="s">
        <v>311</v>
      </c>
      <c r="BK4" s="285"/>
      <c r="BL4" s="285" t="s">
        <v>312</v>
      </c>
      <c r="BM4" s="285"/>
      <c r="BN4" s="285" t="s">
        <v>311</v>
      </c>
      <c r="BO4" s="285"/>
      <c r="BP4" s="285" t="s">
        <v>312</v>
      </c>
      <c r="BQ4" s="285"/>
      <c r="BR4" s="285" t="s">
        <v>311</v>
      </c>
      <c r="BS4" s="285"/>
      <c r="BT4" s="285" t="s">
        <v>312</v>
      </c>
      <c r="BU4" s="285"/>
      <c r="BW4">
        <v>13</v>
      </c>
    </row>
    <row r="5" spans="1:79" ht="15" customHeight="1">
      <c r="A5" s="19" t="s">
        <v>353</v>
      </c>
      <c r="B5" s="50">
        <v>19</v>
      </c>
      <c r="C5" s="64">
        <f>B5/42</f>
        <v>0.45238095238095238</v>
      </c>
      <c r="D5" s="50">
        <v>20</v>
      </c>
      <c r="E5" s="64">
        <f>D5/46</f>
        <v>0.43478260869565216</v>
      </c>
      <c r="F5" s="59">
        <f>SUM(B5+D5)</f>
        <v>39</v>
      </c>
      <c r="G5" s="127">
        <f t="shared" ref="G5:G6" si="0">F5/88</f>
        <v>0.44318181818181818</v>
      </c>
      <c r="H5" s="64"/>
      <c r="J5" s="153" t="s">
        <v>0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23"/>
      <c r="AQ5" s="232" t="s">
        <v>191</v>
      </c>
      <c r="AR5" s="269" t="s">
        <v>343</v>
      </c>
      <c r="AS5" s="269"/>
      <c r="AT5" s="269"/>
      <c r="AU5" s="235"/>
      <c r="AV5" s="269" t="s">
        <v>246</v>
      </c>
      <c r="AW5" s="269"/>
      <c r="AX5" s="269"/>
      <c r="AY5" s="23"/>
      <c r="AZ5" s="80"/>
      <c r="BA5" s="155"/>
      <c r="BB5" s="257" t="s">
        <v>363</v>
      </c>
      <c r="BC5" s="257" t="s">
        <v>364</v>
      </c>
      <c r="BD5" s="257" t="s">
        <v>363</v>
      </c>
      <c r="BE5" s="257" t="s">
        <v>364</v>
      </c>
      <c r="BF5" s="257" t="s">
        <v>363</v>
      </c>
      <c r="BG5" s="257" t="s">
        <v>364</v>
      </c>
      <c r="BH5" s="257" t="s">
        <v>363</v>
      </c>
      <c r="BI5" s="257" t="s">
        <v>364</v>
      </c>
      <c r="BJ5" s="257" t="s">
        <v>363</v>
      </c>
      <c r="BK5" s="257" t="s">
        <v>364</v>
      </c>
      <c r="BL5" s="257" t="s">
        <v>363</v>
      </c>
      <c r="BM5" s="257" t="s">
        <v>364</v>
      </c>
      <c r="BN5" s="257" t="s">
        <v>363</v>
      </c>
      <c r="BO5" s="257" t="s">
        <v>364</v>
      </c>
      <c r="BP5" s="257" t="s">
        <v>363</v>
      </c>
      <c r="BQ5" s="257" t="s">
        <v>364</v>
      </c>
      <c r="BR5" s="257" t="s">
        <v>363</v>
      </c>
      <c r="BS5" s="257" t="s">
        <v>364</v>
      </c>
      <c r="BT5" s="257" t="s">
        <v>363</v>
      </c>
      <c r="BU5" s="257" t="s">
        <v>364</v>
      </c>
      <c r="BW5">
        <v>14</v>
      </c>
    </row>
    <row r="6" spans="1:79" ht="15" customHeight="1">
      <c r="A6" s="19" t="s">
        <v>354</v>
      </c>
      <c r="B6" s="50">
        <v>14</v>
      </c>
      <c r="C6" s="64">
        <f>B6/42</f>
        <v>0.33333333333333331</v>
      </c>
      <c r="D6" s="50">
        <v>12</v>
      </c>
      <c r="E6" s="64">
        <f>D6/46</f>
        <v>0.2608695652173913</v>
      </c>
      <c r="F6" s="59">
        <f t="shared" ref="F6" si="1">SUM(B6+D6)</f>
        <v>26</v>
      </c>
      <c r="G6" s="127">
        <f t="shared" si="0"/>
        <v>0.29545454545454547</v>
      </c>
      <c r="H6" s="251"/>
      <c r="J6" s="106" t="s">
        <v>191</v>
      </c>
      <c r="K6" s="282" t="s">
        <v>224</v>
      </c>
      <c r="L6" s="282"/>
      <c r="M6" s="282"/>
      <c r="N6" s="268" t="s">
        <v>225</v>
      </c>
      <c r="O6" s="268"/>
      <c r="P6" s="268"/>
      <c r="Q6" s="268" t="s">
        <v>226</v>
      </c>
      <c r="R6" s="268"/>
      <c r="S6" s="268"/>
      <c r="T6" s="268" t="s">
        <v>227</v>
      </c>
      <c r="U6" s="268"/>
      <c r="V6" s="268"/>
      <c r="W6" s="268" t="s">
        <v>240</v>
      </c>
      <c r="X6" s="268"/>
      <c r="Y6" s="268"/>
      <c r="Z6" s="268" t="s">
        <v>241</v>
      </c>
      <c r="AA6" s="268"/>
      <c r="AB6" s="268"/>
      <c r="AC6" s="268" t="s">
        <v>242</v>
      </c>
      <c r="AD6" s="268"/>
      <c r="AE6" s="268"/>
      <c r="AF6" s="268" t="s">
        <v>243</v>
      </c>
      <c r="AG6" s="268"/>
      <c r="AH6" s="268"/>
      <c r="AI6" s="282" t="s">
        <v>244</v>
      </c>
      <c r="AJ6" s="282"/>
      <c r="AK6" s="282"/>
      <c r="AL6" s="268" t="s">
        <v>245</v>
      </c>
      <c r="AM6" s="268"/>
      <c r="AN6" s="268"/>
      <c r="AO6" s="165"/>
      <c r="AP6" s="26"/>
      <c r="AQ6" s="233" t="s">
        <v>358</v>
      </c>
      <c r="AR6" s="238">
        <v>42.53</v>
      </c>
      <c r="AS6" s="236" t="s">
        <v>188</v>
      </c>
      <c r="AT6" s="238">
        <v>7.5010000000000003</v>
      </c>
      <c r="AU6" s="238"/>
      <c r="AV6" s="238">
        <v>43.9</v>
      </c>
      <c r="AW6" s="236" t="s">
        <v>188</v>
      </c>
      <c r="AX6" s="238">
        <v>9.5139999999999993</v>
      </c>
      <c r="AY6" s="26"/>
      <c r="AZ6" s="263"/>
      <c r="BA6" s="160" t="s">
        <v>0</v>
      </c>
      <c r="BB6" s="258" t="s">
        <v>527</v>
      </c>
      <c r="BC6" s="258" t="s">
        <v>528</v>
      </c>
      <c r="BD6" s="258" t="s">
        <v>370</v>
      </c>
      <c r="BE6" s="163" t="s">
        <v>406</v>
      </c>
      <c r="BF6" s="163">
        <v>-0.26832</v>
      </c>
      <c r="BG6" s="163" t="s">
        <v>540</v>
      </c>
      <c r="BH6" s="163" t="s">
        <v>431</v>
      </c>
      <c r="BI6" s="163" t="s">
        <v>444</v>
      </c>
      <c r="BJ6" s="163">
        <v>-0.16278999999999999</v>
      </c>
      <c r="BK6" s="258" t="s">
        <v>376</v>
      </c>
      <c r="BL6" s="163" t="s">
        <v>457</v>
      </c>
      <c r="BM6" s="163" t="s">
        <v>470</v>
      </c>
      <c r="BN6" s="163">
        <v>-6.3539999999999999E-2</v>
      </c>
      <c r="BO6" s="258" t="s">
        <v>383</v>
      </c>
      <c r="BP6" s="163" t="s">
        <v>483</v>
      </c>
      <c r="BQ6" s="163" t="s">
        <v>493</v>
      </c>
      <c r="BR6" s="163">
        <v>-2.2780000000000002E-2</v>
      </c>
      <c r="BS6" s="258" t="s">
        <v>389</v>
      </c>
      <c r="BT6" s="163" t="s">
        <v>465</v>
      </c>
      <c r="BU6" s="163" t="s">
        <v>515</v>
      </c>
      <c r="BW6">
        <v>15</v>
      </c>
    </row>
    <row r="7" spans="1:79">
      <c r="A7" s="19" t="s">
        <v>355</v>
      </c>
      <c r="B7" s="50">
        <v>6</v>
      </c>
      <c r="C7" s="64">
        <f>B7/42</f>
        <v>0.14285714285714285</v>
      </c>
      <c r="D7" s="50">
        <v>9</v>
      </c>
      <c r="E7" s="64">
        <f>D7/46</f>
        <v>0.19565217391304349</v>
      </c>
      <c r="F7" s="59">
        <f>SUM(B7+D7)</f>
        <v>15</v>
      </c>
      <c r="G7" s="127">
        <f>F7/88</f>
        <v>0.17045454545454544</v>
      </c>
      <c r="H7" s="64"/>
      <c r="J7" s="107" t="s">
        <v>358</v>
      </c>
      <c r="K7" s="108">
        <v>30.53</v>
      </c>
      <c r="L7" s="109" t="s">
        <v>188</v>
      </c>
      <c r="M7" s="110">
        <v>4.4539999999999997</v>
      </c>
      <c r="N7" s="111">
        <v>28.05</v>
      </c>
      <c r="O7" s="109" t="s">
        <v>188</v>
      </c>
      <c r="P7" s="112">
        <v>10.029</v>
      </c>
      <c r="Q7" s="108">
        <v>21</v>
      </c>
      <c r="R7" s="109" t="s">
        <v>188</v>
      </c>
      <c r="S7" s="110">
        <v>8.6020000000000003</v>
      </c>
      <c r="T7" s="108">
        <v>19.75</v>
      </c>
      <c r="U7" s="109" t="s">
        <v>188</v>
      </c>
      <c r="V7" s="110">
        <v>8.7170000000000005</v>
      </c>
      <c r="W7" s="108">
        <v>17.68</v>
      </c>
      <c r="X7" s="109" t="s">
        <v>188</v>
      </c>
      <c r="Y7" s="110">
        <v>5.3029999999999999</v>
      </c>
      <c r="Z7" s="108">
        <v>17.2</v>
      </c>
      <c r="AA7" s="109" t="s">
        <v>188</v>
      </c>
      <c r="AB7" s="110">
        <v>4.6859999999999999</v>
      </c>
      <c r="AC7" s="108">
        <v>7.68</v>
      </c>
      <c r="AD7" s="109" t="s">
        <v>188</v>
      </c>
      <c r="AE7" s="110">
        <v>2.6680000000000001</v>
      </c>
      <c r="AF7" s="110">
        <v>7.8</v>
      </c>
      <c r="AG7" s="109" t="s">
        <v>188</v>
      </c>
      <c r="AH7" s="110">
        <v>2.1419999999999999</v>
      </c>
      <c r="AI7" s="108">
        <v>10.89</v>
      </c>
      <c r="AJ7" s="109" t="s">
        <v>188</v>
      </c>
      <c r="AK7" s="110">
        <v>1.37</v>
      </c>
      <c r="AL7" s="108">
        <v>11.05</v>
      </c>
      <c r="AM7" s="109" t="s">
        <v>188</v>
      </c>
      <c r="AN7" s="110">
        <v>0.94499999999999995</v>
      </c>
      <c r="AO7" s="110"/>
      <c r="AP7" s="87"/>
      <c r="AQ7" s="233" t="s">
        <v>359</v>
      </c>
      <c r="AR7" s="238">
        <v>34.71</v>
      </c>
      <c r="AS7" s="236" t="s">
        <v>188</v>
      </c>
      <c r="AT7" s="238">
        <v>8.6679999999999993</v>
      </c>
      <c r="AU7" s="238"/>
      <c r="AV7" s="238">
        <v>40.42</v>
      </c>
      <c r="AW7" s="236" t="s">
        <v>188</v>
      </c>
      <c r="AX7" s="238">
        <v>7.5369999999999999</v>
      </c>
      <c r="AY7" s="87"/>
      <c r="AZ7" s="263"/>
      <c r="BA7" s="160" t="s">
        <v>1</v>
      </c>
      <c r="BB7" s="258" t="s">
        <v>529</v>
      </c>
      <c r="BC7" s="258" t="s">
        <v>396</v>
      </c>
      <c r="BD7" s="258" t="s">
        <v>419</v>
      </c>
      <c r="BE7" s="163" t="s">
        <v>407</v>
      </c>
      <c r="BF7" s="163">
        <v>4.4820000000000002</v>
      </c>
      <c r="BG7" s="163" t="s">
        <v>541</v>
      </c>
      <c r="BH7" s="163" t="s">
        <v>432</v>
      </c>
      <c r="BI7" s="163" t="s">
        <v>445</v>
      </c>
      <c r="BJ7" s="163">
        <v>1.6232</v>
      </c>
      <c r="BK7" s="258" t="s">
        <v>377</v>
      </c>
      <c r="BL7" s="163" t="s">
        <v>458</v>
      </c>
      <c r="BM7" s="163" t="s">
        <v>471</v>
      </c>
      <c r="BN7" s="163">
        <v>0.20810000000000001</v>
      </c>
      <c r="BO7" s="163" t="s">
        <v>384</v>
      </c>
      <c r="BP7" s="163" t="s">
        <v>484</v>
      </c>
      <c r="BQ7" s="163" t="s">
        <v>494</v>
      </c>
      <c r="BR7" s="163">
        <v>0.22670000000000001</v>
      </c>
      <c r="BS7" s="163" t="s">
        <v>390</v>
      </c>
      <c r="BT7" s="163" t="s">
        <v>505</v>
      </c>
      <c r="BU7" s="163" t="s">
        <v>516</v>
      </c>
      <c r="BW7">
        <v>16</v>
      </c>
    </row>
    <row r="8" spans="1:79">
      <c r="A8" s="19" t="s">
        <v>356</v>
      </c>
      <c r="B8" s="50">
        <v>1</v>
      </c>
      <c r="C8" s="64">
        <f>B8/42</f>
        <v>2.3809523809523808E-2</v>
      </c>
      <c r="D8" s="50">
        <v>4</v>
      </c>
      <c r="E8" s="64">
        <f>D8/46</f>
        <v>8.6956521739130432E-2</v>
      </c>
      <c r="F8" s="59">
        <f>SUM(B8+D8)</f>
        <v>5</v>
      </c>
      <c r="G8" s="127">
        <f>F8/88</f>
        <v>5.6818181818181816E-2</v>
      </c>
      <c r="H8" s="64"/>
      <c r="J8" s="107" t="s">
        <v>359</v>
      </c>
      <c r="K8" s="108">
        <v>28.5</v>
      </c>
      <c r="L8" s="109" t="s">
        <v>188</v>
      </c>
      <c r="M8" s="110">
        <v>7.8339999999999996</v>
      </c>
      <c r="N8" s="111">
        <v>24.92</v>
      </c>
      <c r="O8" s="109" t="s">
        <v>188</v>
      </c>
      <c r="P8" s="112">
        <v>8.0730000000000004</v>
      </c>
      <c r="Q8" s="108">
        <v>20.79</v>
      </c>
      <c r="R8" s="109" t="s">
        <v>188</v>
      </c>
      <c r="S8" s="110">
        <v>9.125</v>
      </c>
      <c r="T8" s="108">
        <v>11.92</v>
      </c>
      <c r="U8" s="109" t="s">
        <v>188</v>
      </c>
      <c r="V8" s="110">
        <v>5.7439999999999998</v>
      </c>
      <c r="W8" s="108">
        <v>15.43</v>
      </c>
      <c r="X8" s="109" t="s">
        <v>188</v>
      </c>
      <c r="Y8" s="110">
        <v>4.6360000000000001</v>
      </c>
      <c r="Z8" s="108">
        <v>14.08</v>
      </c>
      <c r="AA8" s="109" t="s">
        <v>188</v>
      </c>
      <c r="AB8" s="110">
        <v>3.6549999999999998</v>
      </c>
      <c r="AC8" s="108">
        <v>7.21</v>
      </c>
      <c r="AD8" s="109" t="s">
        <v>188</v>
      </c>
      <c r="AE8" s="110">
        <v>2.19</v>
      </c>
      <c r="AF8" s="110">
        <v>6.92</v>
      </c>
      <c r="AG8" s="109" t="s">
        <v>188</v>
      </c>
      <c r="AH8" s="110">
        <v>1.9750000000000001</v>
      </c>
      <c r="AI8" s="108">
        <v>10.71</v>
      </c>
      <c r="AJ8" s="109" t="s">
        <v>188</v>
      </c>
      <c r="AK8" s="110">
        <v>1.204</v>
      </c>
      <c r="AL8" s="108">
        <v>10.92</v>
      </c>
      <c r="AM8" s="109" t="s">
        <v>188</v>
      </c>
      <c r="AN8" s="110">
        <v>1.379</v>
      </c>
      <c r="AO8" s="110"/>
      <c r="AP8" s="87"/>
      <c r="AQ8" s="233" t="s">
        <v>360</v>
      </c>
      <c r="AR8" s="238">
        <v>36.67</v>
      </c>
      <c r="AS8" s="236" t="s">
        <v>188</v>
      </c>
      <c r="AT8" s="238">
        <v>10.289</v>
      </c>
      <c r="AU8" s="238"/>
      <c r="AV8" s="238">
        <v>32.67</v>
      </c>
      <c r="AW8" s="236" t="s">
        <v>188</v>
      </c>
      <c r="AX8" s="238">
        <v>11.435</v>
      </c>
      <c r="AY8" s="87"/>
      <c r="AZ8" s="263"/>
      <c r="BA8" s="161" t="s">
        <v>38</v>
      </c>
      <c r="BB8" s="258">
        <v>1.131</v>
      </c>
      <c r="BC8" s="258" t="s">
        <v>397</v>
      </c>
      <c r="BD8" s="258" t="s">
        <v>420</v>
      </c>
      <c r="BE8" s="163" t="s">
        <v>408</v>
      </c>
      <c r="BF8" s="163">
        <v>1.3129999999999999</v>
      </c>
      <c r="BG8" s="163" t="s">
        <v>542</v>
      </c>
      <c r="BH8" s="163" t="s">
        <v>433</v>
      </c>
      <c r="BI8" s="163" t="s">
        <v>446</v>
      </c>
      <c r="BJ8" s="163">
        <v>0.54320000000000002</v>
      </c>
      <c r="BK8" s="163" t="s">
        <v>378</v>
      </c>
      <c r="BL8" s="163" t="s">
        <v>459</v>
      </c>
      <c r="BM8" s="163" t="s">
        <v>472</v>
      </c>
      <c r="BN8" s="163">
        <v>0.27743000000000001</v>
      </c>
      <c r="BO8" s="163" t="s">
        <v>385</v>
      </c>
      <c r="BP8" s="163" t="s">
        <v>372</v>
      </c>
      <c r="BQ8" s="163" t="s">
        <v>495</v>
      </c>
      <c r="BR8" s="163">
        <v>0.11584999999999999</v>
      </c>
      <c r="BS8" s="163" t="s">
        <v>391</v>
      </c>
      <c r="BT8" s="163" t="s">
        <v>506</v>
      </c>
      <c r="BU8" s="163" t="s">
        <v>517</v>
      </c>
      <c r="BW8">
        <v>17</v>
      </c>
    </row>
    <row r="9" spans="1:79">
      <c r="A9" s="129" t="s">
        <v>357</v>
      </c>
      <c r="B9" s="95">
        <v>2</v>
      </c>
      <c r="C9" s="64">
        <f>B9/42</f>
        <v>4.7619047619047616E-2</v>
      </c>
      <c r="D9" s="95">
        <v>1</v>
      </c>
      <c r="E9" s="64">
        <f>D9/46</f>
        <v>2.1739130434782608E-2</v>
      </c>
      <c r="F9" s="159">
        <f>SUM(B9+D9)</f>
        <v>3</v>
      </c>
      <c r="G9" s="127">
        <f>F9/88</f>
        <v>3.4090909090909088E-2</v>
      </c>
      <c r="H9" s="64"/>
      <c r="J9" s="107" t="s">
        <v>360</v>
      </c>
      <c r="K9" s="108">
        <v>26.5</v>
      </c>
      <c r="L9" s="109" t="s">
        <v>188</v>
      </c>
      <c r="M9" s="110">
        <v>5.61</v>
      </c>
      <c r="N9" s="111">
        <v>23.56</v>
      </c>
      <c r="O9" s="109" t="s">
        <v>188</v>
      </c>
      <c r="P9" s="112">
        <v>5.7249999999999996</v>
      </c>
      <c r="Q9" s="108">
        <v>17.170000000000002</v>
      </c>
      <c r="R9" s="109" t="s">
        <v>188</v>
      </c>
      <c r="S9" s="110">
        <v>8.7270000000000003</v>
      </c>
      <c r="T9" s="108">
        <v>13.11</v>
      </c>
      <c r="U9" s="109" t="s">
        <v>188</v>
      </c>
      <c r="V9" s="110">
        <v>3.5510000000000002</v>
      </c>
      <c r="W9" s="108">
        <v>15</v>
      </c>
      <c r="X9" s="109" t="s">
        <v>188</v>
      </c>
      <c r="Y9" s="110">
        <v>2.1909999999999998</v>
      </c>
      <c r="Z9" s="108">
        <v>11.22</v>
      </c>
      <c r="AA9" s="109" t="s">
        <v>188</v>
      </c>
      <c r="AB9" s="110">
        <v>3.1930000000000001</v>
      </c>
      <c r="AC9" s="108">
        <v>5.67</v>
      </c>
      <c r="AD9" s="109" t="s">
        <v>188</v>
      </c>
      <c r="AE9" s="110">
        <v>2.7330000000000001</v>
      </c>
      <c r="AF9" s="110">
        <v>6.22</v>
      </c>
      <c r="AG9" s="109" t="s">
        <v>188</v>
      </c>
      <c r="AH9" s="110">
        <v>2.5870000000000002</v>
      </c>
      <c r="AI9" s="108">
        <v>11.17</v>
      </c>
      <c r="AJ9" s="109" t="s">
        <v>188</v>
      </c>
      <c r="AK9" s="110">
        <v>0.753</v>
      </c>
      <c r="AL9" s="108">
        <v>9.89</v>
      </c>
      <c r="AM9" s="109" t="s">
        <v>188</v>
      </c>
      <c r="AN9" s="110">
        <v>2.5710000000000002</v>
      </c>
      <c r="AO9" s="110"/>
      <c r="AP9" s="87"/>
      <c r="AQ9" s="233" t="s">
        <v>361</v>
      </c>
      <c r="AR9" s="238">
        <v>36</v>
      </c>
      <c r="AS9" s="236" t="s">
        <v>188</v>
      </c>
      <c r="AT9" s="239" t="s">
        <v>189</v>
      </c>
      <c r="AU9" s="238"/>
      <c r="AV9" s="238">
        <v>23.75</v>
      </c>
      <c r="AW9" s="236" t="s">
        <v>188</v>
      </c>
      <c r="AX9" s="238">
        <v>4.7169999999999996</v>
      </c>
      <c r="AY9" s="87"/>
      <c r="AZ9" s="263"/>
      <c r="BA9" s="160" t="s">
        <v>317</v>
      </c>
      <c r="BB9" s="258">
        <v>-3.7</v>
      </c>
      <c r="BC9" s="258" t="s">
        <v>398</v>
      </c>
      <c r="BD9" s="258" t="s">
        <v>421</v>
      </c>
      <c r="BE9" s="163" t="s">
        <v>409</v>
      </c>
      <c r="BF9" s="163">
        <v>-6.3</v>
      </c>
      <c r="BG9" s="163" t="s">
        <v>543</v>
      </c>
      <c r="BH9" s="163" t="s">
        <v>434</v>
      </c>
      <c r="BI9" s="163" t="s">
        <v>447</v>
      </c>
      <c r="BJ9" s="163">
        <v>-2.65</v>
      </c>
      <c r="BK9" s="163" t="s">
        <v>379</v>
      </c>
      <c r="BL9" s="163" t="s">
        <v>460</v>
      </c>
      <c r="BM9" s="163" t="s">
        <v>473</v>
      </c>
      <c r="BN9" s="163">
        <v>-0.8</v>
      </c>
      <c r="BO9" s="163" t="s">
        <v>386</v>
      </c>
      <c r="BP9" s="163" t="s">
        <v>485</v>
      </c>
      <c r="BQ9" s="163" t="s">
        <v>496</v>
      </c>
      <c r="BR9" s="163">
        <v>0.1</v>
      </c>
      <c r="BS9" s="163" t="s">
        <v>392</v>
      </c>
      <c r="BT9" s="163" t="s">
        <v>507</v>
      </c>
      <c r="BU9" s="163" t="s">
        <v>518</v>
      </c>
      <c r="BW9">
        <v>18</v>
      </c>
    </row>
    <row r="10" spans="1:79">
      <c r="A10" s="254" t="s">
        <v>58</v>
      </c>
      <c r="B10" s="254"/>
      <c r="C10" s="254"/>
      <c r="D10" s="254"/>
      <c r="E10" s="254"/>
      <c r="F10" s="254"/>
      <c r="G10" s="254"/>
      <c r="H10" s="64"/>
      <c r="J10" s="107" t="s">
        <v>361</v>
      </c>
      <c r="K10" s="108">
        <v>5</v>
      </c>
      <c r="L10" s="109" t="s">
        <v>188</v>
      </c>
      <c r="M10" s="110">
        <v>6.8339999999999996</v>
      </c>
      <c r="N10" s="111">
        <v>13</v>
      </c>
      <c r="O10" s="109" t="s">
        <v>188</v>
      </c>
      <c r="P10" s="112">
        <v>5.5979999999999999</v>
      </c>
      <c r="Q10" s="108">
        <v>0</v>
      </c>
      <c r="R10" s="109" t="s">
        <v>188</v>
      </c>
      <c r="S10" s="114" t="s">
        <v>189</v>
      </c>
      <c r="T10" s="108">
        <v>6.25</v>
      </c>
      <c r="U10" s="109" t="s">
        <v>188</v>
      </c>
      <c r="V10" s="110">
        <v>2.363</v>
      </c>
      <c r="W10" s="108">
        <v>13</v>
      </c>
      <c r="X10" s="109" t="s">
        <v>188</v>
      </c>
      <c r="Y10" s="114" t="s">
        <v>189</v>
      </c>
      <c r="Z10" s="108">
        <v>10.75</v>
      </c>
      <c r="AA10" s="109" t="s">
        <v>188</v>
      </c>
      <c r="AB10" s="110">
        <v>2.2170000000000001</v>
      </c>
      <c r="AC10" s="108">
        <v>6</v>
      </c>
      <c r="AD10" s="109" t="s">
        <v>188</v>
      </c>
      <c r="AE10" s="114" t="s">
        <v>189</v>
      </c>
      <c r="AF10" s="110">
        <v>4.25</v>
      </c>
      <c r="AG10" s="109" t="s">
        <v>188</v>
      </c>
      <c r="AH10" s="110">
        <v>2.363</v>
      </c>
      <c r="AI10" s="108">
        <v>10</v>
      </c>
      <c r="AJ10" s="109" t="s">
        <v>188</v>
      </c>
      <c r="AK10" s="114" t="s">
        <v>189</v>
      </c>
      <c r="AL10" s="108">
        <v>9</v>
      </c>
      <c r="AM10" s="109" t="s">
        <v>188</v>
      </c>
      <c r="AN10" s="110">
        <v>2.7080000000000002</v>
      </c>
      <c r="AO10" s="110"/>
      <c r="AP10" s="87"/>
      <c r="AQ10" s="233" t="s">
        <v>362</v>
      </c>
      <c r="AR10" s="238">
        <v>29</v>
      </c>
      <c r="AS10" s="236" t="s">
        <v>188</v>
      </c>
      <c r="AT10" s="238">
        <v>5.657</v>
      </c>
      <c r="AU10" s="238"/>
      <c r="AV10" s="238">
        <v>39</v>
      </c>
      <c r="AW10" s="236" t="s">
        <v>188</v>
      </c>
      <c r="AX10" s="239" t="s">
        <v>189</v>
      </c>
      <c r="AY10" s="87"/>
      <c r="AZ10" s="263"/>
      <c r="BA10" s="160" t="s">
        <v>318</v>
      </c>
      <c r="BB10" s="258">
        <v>-0.7</v>
      </c>
      <c r="BC10" s="258" t="s">
        <v>399</v>
      </c>
      <c r="BD10" s="258" t="s">
        <v>422</v>
      </c>
      <c r="BE10" s="163" t="s">
        <v>410</v>
      </c>
      <c r="BF10" s="163">
        <v>-0.56999999999999995</v>
      </c>
      <c r="BG10" s="163" t="s">
        <v>544</v>
      </c>
      <c r="BH10" s="163" t="s">
        <v>435</v>
      </c>
      <c r="BI10" s="163" t="s">
        <v>448</v>
      </c>
      <c r="BJ10" s="163">
        <v>-3.05</v>
      </c>
      <c r="BK10" s="163" t="s">
        <v>380</v>
      </c>
      <c r="BL10" s="163" t="s">
        <v>461</v>
      </c>
      <c r="BM10" s="163" t="s">
        <v>474</v>
      </c>
      <c r="BN10" s="163">
        <v>-1.075</v>
      </c>
      <c r="BO10" s="163" t="s">
        <v>387</v>
      </c>
      <c r="BP10" s="163" t="s">
        <v>486</v>
      </c>
      <c r="BQ10" s="163" t="s">
        <v>497</v>
      </c>
      <c r="BR10" s="163">
        <v>-0.42499999999999999</v>
      </c>
      <c r="BS10" s="163" t="s">
        <v>393</v>
      </c>
      <c r="BT10" s="163" t="s">
        <v>508</v>
      </c>
      <c r="BU10" s="163" t="s">
        <v>519</v>
      </c>
    </row>
    <row r="11" spans="1:79" ht="24" customHeight="1">
      <c r="A11" s="129" t="s">
        <v>39</v>
      </c>
      <c r="B11" s="130">
        <v>5</v>
      </c>
      <c r="C11" s="64">
        <f>B11/42</f>
        <v>0.11904761904761904</v>
      </c>
      <c r="D11" s="130">
        <v>11</v>
      </c>
      <c r="E11" s="64">
        <f>D11/46</f>
        <v>0.2391304347826087</v>
      </c>
      <c r="F11" s="95">
        <f>SUM(B11+D11)</f>
        <v>16</v>
      </c>
      <c r="G11" s="127">
        <f>F11/88</f>
        <v>0.18181818181818182</v>
      </c>
      <c r="H11" s="64"/>
      <c r="J11" s="107" t="s">
        <v>362</v>
      </c>
      <c r="K11" s="108">
        <v>20</v>
      </c>
      <c r="L11" s="109" t="s">
        <v>188</v>
      </c>
      <c r="M11" s="110">
        <v>0.70699999999999996</v>
      </c>
      <c r="N11" s="111">
        <v>17</v>
      </c>
      <c r="O11" s="109" t="s">
        <v>188</v>
      </c>
      <c r="P11" s="114" t="s">
        <v>189</v>
      </c>
      <c r="Q11" s="108">
        <v>14</v>
      </c>
      <c r="R11" s="109" t="s">
        <v>188</v>
      </c>
      <c r="S11" s="110">
        <v>2.8279999999999998</v>
      </c>
      <c r="T11" s="108">
        <v>12</v>
      </c>
      <c r="U11" s="109" t="s">
        <v>188</v>
      </c>
      <c r="V11" s="114" t="s">
        <v>189</v>
      </c>
      <c r="W11" s="108">
        <v>12</v>
      </c>
      <c r="X11" s="109" t="s">
        <v>188</v>
      </c>
      <c r="Y11" s="110">
        <v>2.8279999999999998</v>
      </c>
      <c r="Z11" s="108">
        <v>12</v>
      </c>
      <c r="AA11" s="109" t="s">
        <v>188</v>
      </c>
      <c r="AB11" s="114" t="s">
        <v>189</v>
      </c>
      <c r="AC11" s="108">
        <v>6.5</v>
      </c>
      <c r="AD11" s="109" t="s">
        <v>188</v>
      </c>
      <c r="AE11" s="110">
        <v>0.70699999999999996</v>
      </c>
      <c r="AF11" s="110">
        <v>7</v>
      </c>
      <c r="AG11" s="109" t="s">
        <v>188</v>
      </c>
      <c r="AH11" s="114" t="s">
        <v>189</v>
      </c>
      <c r="AI11" s="108">
        <v>11</v>
      </c>
      <c r="AJ11" s="109" t="s">
        <v>188</v>
      </c>
      <c r="AK11" s="110">
        <v>1.4139999999999999</v>
      </c>
      <c r="AL11" s="108">
        <v>12</v>
      </c>
      <c r="AM11" s="109" t="s">
        <v>188</v>
      </c>
      <c r="AN11" s="114" t="s">
        <v>189</v>
      </c>
      <c r="AO11" s="110"/>
      <c r="AQ11" s="270" t="s">
        <v>38</v>
      </c>
      <c r="AR11" s="270"/>
      <c r="AS11" s="270"/>
      <c r="AT11" s="270"/>
      <c r="AU11" s="270"/>
      <c r="AV11" s="270"/>
      <c r="AW11" s="270"/>
      <c r="AX11" s="270"/>
      <c r="AZ11" s="263"/>
      <c r="BA11" s="160" t="s">
        <v>319</v>
      </c>
      <c r="BB11" s="258">
        <v>4.05</v>
      </c>
      <c r="BC11" s="258" t="s">
        <v>400</v>
      </c>
      <c r="BD11" s="258" t="s">
        <v>423</v>
      </c>
      <c r="BE11" s="163" t="s">
        <v>411</v>
      </c>
      <c r="BF11" s="163">
        <v>3.82</v>
      </c>
      <c r="BG11" s="163" t="s">
        <v>545</v>
      </c>
      <c r="BH11" s="163" t="s">
        <v>436</v>
      </c>
      <c r="BI11" s="163" t="s">
        <v>449</v>
      </c>
      <c r="BJ11" s="163">
        <v>-2.125</v>
      </c>
      <c r="BK11" s="163" t="s">
        <v>381</v>
      </c>
      <c r="BL11" s="163" t="s">
        <v>462</v>
      </c>
      <c r="BM11" s="163" t="s">
        <v>475</v>
      </c>
      <c r="BN11" s="163">
        <v>-1.05</v>
      </c>
      <c r="BO11" s="163" t="s">
        <v>388</v>
      </c>
      <c r="BP11" s="163" t="s">
        <v>487</v>
      </c>
      <c r="BQ11" s="163" t="s">
        <v>498</v>
      </c>
      <c r="BR11" s="163">
        <v>0.1</v>
      </c>
      <c r="BS11" s="163" t="s">
        <v>394</v>
      </c>
      <c r="BT11" s="163" t="s">
        <v>509</v>
      </c>
      <c r="BU11" s="163" t="s">
        <v>520</v>
      </c>
    </row>
    <row r="12" spans="1:79">
      <c r="A12" s="129" t="s">
        <v>40</v>
      </c>
      <c r="B12" s="130">
        <v>12</v>
      </c>
      <c r="C12" s="64">
        <f>B12/42</f>
        <v>0.2857142857142857</v>
      </c>
      <c r="D12" s="130">
        <v>16</v>
      </c>
      <c r="E12" s="64">
        <f>D12/46</f>
        <v>0.34782608695652173</v>
      </c>
      <c r="F12" s="95">
        <f>SUM(B12+D12)</f>
        <v>28</v>
      </c>
      <c r="G12" s="127">
        <f>F12/88</f>
        <v>0.31818181818181818</v>
      </c>
      <c r="H12" s="64"/>
      <c r="J12" s="153" t="s">
        <v>38</v>
      </c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10"/>
      <c r="AQ12" s="232" t="s">
        <v>191</v>
      </c>
      <c r="AR12" s="269" t="s">
        <v>344</v>
      </c>
      <c r="AS12" s="269"/>
      <c r="AT12" s="269"/>
      <c r="AU12" s="256"/>
      <c r="AV12" s="269" t="s">
        <v>345</v>
      </c>
      <c r="AW12" s="269"/>
      <c r="AX12" s="269"/>
      <c r="AZ12" s="263"/>
      <c r="BA12" s="160" t="s">
        <v>71</v>
      </c>
      <c r="BB12" s="258">
        <v>-3.85</v>
      </c>
      <c r="BC12" s="258" t="s">
        <v>530</v>
      </c>
      <c r="BD12" s="258" t="s">
        <v>424</v>
      </c>
      <c r="BE12" s="163" t="s">
        <v>412</v>
      </c>
      <c r="BF12" s="163">
        <v>-3</v>
      </c>
      <c r="BG12" s="163" t="s">
        <v>546</v>
      </c>
      <c r="BH12" s="163" t="s">
        <v>437</v>
      </c>
      <c r="BI12" s="163" t="s">
        <v>450</v>
      </c>
      <c r="BJ12" s="163">
        <v>-1.08</v>
      </c>
      <c r="BK12" s="163" t="s">
        <v>551</v>
      </c>
      <c r="BL12" s="163" t="s">
        <v>463</v>
      </c>
      <c r="BM12" s="163" t="s">
        <v>476</v>
      </c>
      <c r="BN12" s="163">
        <v>-0.5</v>
      </c>
      <c r="BO12" s="163" t="s">
        <v>558</v>
      </c>
      <c r="BP12" s="163" t="s">
        <v>488</v>
      </c>
      <c r="BQ12" s="163" t="s">
        <v>499</v>
      </c>
      <c r="BR12" s="163">
        <v>0.44</v>
      </c>
      <c r="BS12" s="163" t="s">
        <v>395</v>
      </c>
      <c r="BT12" s="163" t="s">
        <v>510</v>
      </c>
      <c r="BU12" s="163" t="s">
        <v>521</v>
      </c>
    </row>
    <row r="13" spans="1:79" ht="15" customHeight="1">
      <c r="A13" s="129" t="s">
        <v>41</v>
      </c>
      <c r="B13" s="130">
        <v>22</v>
      </c>
      <c r="C13" s="64">
        <f>B13/42</f>
        <v>0.52380952380952384</v>
      </c>
      <c r="D13" s="130">
        <v>18</v>
      </c>
      <c r="E13" s="64">
        <f>D13/46</f>
        <v>0.39130434782608697</v>
      </c>
      <c r="F13" s="95">
        <f>SUM(B13+D13)</f>
        <v>40</v>
      </c>
      <c r="G13" s="127">
        <f>F13/88</f>
        <v>0.45454545454545453</v>
      </c>
      <c r="H13" s="64"/>
      <c r="J13" s="106" t="s">
        <v>191</v>
      </c>
      <c r="K13" s="268" t="s">
        <v>228</v>
      </c>
      <c r="L13" s="268"/>
      <c r="M13" s="268"/>
      <c r="N13" s="268" t="s">
        <v>230</v>
      </c>
      <c r="O13" s="268"/>
      <c r="P13" s="268"/>
      <c r="Q13" s="268" t="s">
        <v>229</v>
      </c>
      <c r="R13" s="268"/>
      <c r="S13" s="268"/>
      <c r="T13" s="268" t="s">
        <v>230</v>
      </c>
      <c r="U13" s="268"/>
      <c r="V13" s="268"/>
      <c r="W13" s="268" t="s">
        <v>246</v>
      </c>
      <c r="X13" s="268"/>
      <c r="Y13" s="268"/>
      <c r="Z13" s="268" t="s">
        <v>247</v>
      </c>
      <c r="AA13" s="268"/>
      <c r="AB13" s="268"/>
      <c r="AC13" s="268" t="s">
        <v>248</v>
      </c>
      <c r="AD13" s="268"/>
      <c r="AE13" s="268"/>
      <c r="AF13" s="268" t="s">
        <v>230</v>
      </c>
      <c r="AG13" s="268"/>
      <c r="AH13" s="268"/>
      <c r="AI13" s="268" t="s">
        <v>249</v>
      </c>
      <c r="AJ13" s="268"/>
      <c r="AK13" s="268"/>
      <c r="AL13" s="268" t="s">
        <v>250</v>
      </c>
      <c r="AM13" s="268"/>
      <c r="AN13" s="268"/>
      <c r="AO13" s="114"/>
      <c r="AQ13" s="233" t="s">
        <v>39</v>
      </c>
      <c r="AR13" s="238">
        <v>32.799999999999997</v>
      </c>
      <c r="AS13" s="237" t="s">
        <v>188</v>
      </c>
      <c r="AT13" s="238">
        <v>8.3785440262613644</v>
      </c>
      <c r="AU13" s="238"/>
      <c r="AV13" s="238">
        <v>27.181818181818183</v>
      </c>
      <c r="AW13" s="237" t="s">
        <v>188</v>
      </c>
      <c r="AX13" s="238">
        <v>7.0684960468006457</v>
      </c>
      <c r="AZ13" s="263"/>
      <c r="BA13" s="160" t="s">
        <v>14</v>
      </c>
      <c r="BB13" s="258">
        <v>1.39</v>
      </c>
      <c r="BC13" s="258" t="s">
        <v>531</v>
      </c>
      <c r="BD13" s="258" t="s">
        <v>425</v>
      </c>
      <c r="BE13" s="163" t="s">
        <v>413</v>
      </c>
      <c r="BF13" s="163">
        <v>-0.15</v>
      </c>
      <c r="BG13" s="163" t="s">
        <v>547</v>
      </c>
      <c r="BH13" s="163" t="s">
        <v>438</v>
      </c>
      <c r="BI13" s="163" t="s">
        <v>451</v>
      </c>
      <c r="BJ13" s="163">
        <v>1.39</v>
      </c>
      <c r="BK13" s="163" t="s">
        <v>552</v>
      </c>
      <c r="BL13" s="163" t="s">
        <v>464</v>
      </c>
      <c r="BM13" s="163" t="s">
        <v>477</v>
      </c>
      <c r="BN13" s="163">
        <v>0.65</v>
      </c>
      <c r="BO13" s="163" t="s">
        <v>559</v>
      </c>
      <c r="BP13" s="163" t="s">
        <v>489</v>
      </c>
      <c r="BQ13" s="163" t="s">
        <v>500</v>
      </c>
      <c r="BR13" s="163">
        <v>0.32</v>
      </c>
      <c r="BS13" s="163" t="s">
        <v>565</v>
      </c>
      <c r="BT13" s="163" t="s">
        <v>511</v>
      </c>
      <c r="BU13" s="163" t="s">
        <v>522</v>
      </c>
    </row>
    <row r="14" spans="1:79">
      <c r="A14" s="89" t="s">
        <v>42</v>
      </c>
      <c r="B14" s="130">
        <v>3</v>
      </c>
      <c r="C14" s="64">
        <f>B14/42</f>
        <v>7.1428571428571425E-2</v>
      </c>
      <c r="D14" s="130">
        <v>1</v>
      </c>
      <c r="E14" s="64">
        <f>D14/46</f>
        <v>2.1739130434782608E-2</v>
      </c>
      <c r="F14" s="95">
        <f>SUM(B14+D14)</f>
        <v>4</v>
      </c>
      <c r="G14" s="127">
        <f>F14/88</f>
        <v>4.5454545454545456E-2</v>
      </c>
      <c r="H14" s="64"/>
      <c r="J14" s="107" t="s">
        <v>39</v>
      </c>
      <c r="K14" s="108">
        <v>19</v>
      </c>
      <c r="L14" s="109" t="s">
        <v>188</v>
      </c>
      <c r="M14" s="110">
        <v>9.6950000000000003</v>
      </c>
      <c r="N14" s="108">
        <v>16.45</v>
      </c>
      <c r="O14" s="109" t="s">
        <v>188</v>
      </c>
      <c r="P14" s="110">
        <v>6.0229999999999997</v>
      </c>
      <c r="Q14" s="108">
        <v>8.1999999999999993</v>
      </c>
      <c r="R14" s="109" t="s">
        <v>188</v>
      </c>
      <c r="S14" s="110">
        <v>6.181</v>
      </c>
      <c r="T14" s="108">
        <v>9</v>
      </c>
      <c r="U14" s="109" t="s">
        <v>188</v>
      </c>
      <c r="V14" s="110">
        <v>3.661</v>
      </c>
      <c r="W14" s="108">
        <v>12.4</v>
      </c>
      <c r="X14" s="109" t="s">
        <v>188</v>
      </c>
      <c r="Y14" s="110">
        <v>3.5070000000000001</v>
      </c>
      <c r="Z14" s="108">
        <v>11.18</v>
      </c>
      <c r="AA14" s="109" t="s">
        <v>188</v>
      </c>
      <c r="AB14" s="110">
        <v>3.43</v>
      </c>
      <c r="AC14" s="108">
        <v>6.2</v>
      </c>
      <c r="AD14" s="109" t="s">
        <v>188</v>
      </c>
      <c r="AE14" s="110">
        <v>1.4830000000000001</v>
      </c>
      <c r="AF14" s="113">
        <v>4.6399999999999997</v>
      </c>
      <c r="AG14" s="109" t="s">
        <v>188</v>
      </c>
      <c r="AH14" s="110">
        <v>2.0139999999999998</v>
      </c>
      <c r="AI14" s="108">
        <v>10.199999999999999</v>
      </c>
      <c r="AJ14" s="109" t="s">
        <v>188</v>
      </c>
      <c r="AK14" s="110">
        <v>1.4830000000000001</v>
      </c>
      <c r="AL14" s="108">
        <v>9.27</v>
      </c>
      <c r="AM14" s="109" t="s">
        <v>188</v>
      </c>
      <c r="AN14" s="110">
        <v>2.149</v>
      </c>
      <c r="AO14" s="110"/>
      <c r="AQ14" s="233" t="s">
        <v>40</v>
      </c>
      <c r="AR14" s="238">
        <v>31.916666666666668</v>
      </c>
      <c r="AS14" s="237" t="s">
        <v>188</v>
      </c>
      <c r="AT14" s="238">
        <v>5.0714590572829206</v>
      </c>
      <c r="AU14" s="238"/>
      <c r="AV14" s="238">
        <v>40.5</v>
      </c>
      <c r="AW14" s="237" t="s">
        <v>188</v>
      </c>
      <c r="AX14" s="238">
        <v>8.5712698398000899</v>
      </c>
      <c r="AZ14" s="263"/>
      <c r="BA14" s="161" t="s">
        <v>125</v>
      </c>
      <c r="BB14" s="258" t="s">
        <v>369</v>
      </c>
      <c r="BC14" s="163" t="s">
        <v>367</v>
      </c>
      <c r="BD14" s="258" t="s">
        <v>369</v>
      </c>
      <c r="BE14" s="163" t="s">
        <v>367</v>
      </c>
      <c r="BF14" s="164">
        <v>4.2710000000000003E-6</v>
      </c>
      <c r="BG14" s="163" t="s">
        <v>548</v>
      </c>
      <c r="BH14" s="163" t="s">
        <v>369</v>
      </c>
      <c r="BI14" s="163" t="s">
        <v>367</v>
      </c>
      <c r="BJ14" s="164">
        <v>1.398E-6</v>
      </c>
      <c r="BK14" s="163" t="s">
        <v>382</v>
      </c>
      <c r="BL14" s="163" t="s">
        <v>465</v>
      </c>
      <c r="BM14" s="163" t="s">
        <v>373</v>
      </c>
      <c r="BN14" s="164">
        <v>1.3039999999999999E-6</v>
      </c>
      <c r="BO14" s="163" t="s">
        <v>373</v>
      </c>
      <c r="BP14" s="163" t="s">
        <v>490</v>
      </c>
      <c r="BQ14" s="163" t="s">
        <v>373</v>
      </c>
      <c r="BR14" s="164">
        <v>6.2180000000000002E-7</v>
      </c>
      <c r="BS14" s="163" t="s">
        <v>373</v>
      </c>
      <c r="BT14" s="163" t="s">
        <v>465</v>
      </c>
      <c r="BU14" s="163" t="s">
        <v>373</v>
      </c>
    </row>
    <row r="15" spans="1:79">
      <c r="A15" s="255" t="s">
        <v>43</v>
      </c>
      <c r="B15" s="255"/>
      <c r="C15" s="255"/>
      <c r="D15" s="255"/>
      <c r="E15" s="255"/>
      <c r="F15" s="255"/>
      <c r="G15" s="255"/>
      <c r="H15" s="64"/>
      <c r="J15" s="107" t="s">
        <v>40</v>
      </c>
      <c r="K15" s="108">
        <v>26.17</v>
      </c>
      <c r="L15" s="109" t="s">
        <v>188</v>
      </c>
      <c r="M15" s="110">
        <v>9.0239999999999991</v>
      </c>
      <c r="N15" s="108">
        <v>23.69</v>
      </c>
      <c r="O15" s="109" t="s">
        <v>188</v>
      </c>
      <c r="P15" s="110">
        <v>9.4139999999999997</v>
      </c>
      <c r="Q15" s="108">
        <v>19.5</v>
      </c>
      <c r="R15" s="109" t="s">
        <v>188</v>
      </c>
      <c r="S15" s="110">
        <v>10.032</v>
      </c>
      <c r="T15" s="108">
        <v>11.69</v>
      </c>
      <c r="U15" s="109" t="s">
        <v>188</v>
      </c>
      <c r="V15" s="110">
        <v>4.7569999999999997</v>
      </c>
      <c r="W15" s="108">
        <v>14.08</v>
      </c>
      <c r="X15" s="109" t="s">
        <v>188</v>
      </c>
      <c r="Y15" s="110">
        <v>3.7530000000000001</v>
      </c>
      <c r="Z15" s="108">
        <v>14</v>
      </c>
      <c r="AA15" s="109" t="s">
        <v>188</v>
      </c>
      <c r="AB15" s="110">
        <v>3.9670000000000001</v>
      </c>
      <c r="AC15" s="108">
        <v>5.75</v>
      </c>
      <c r="AD15" s="109" t="s">
        <v>188</v>
      </c>
      <c r="AE15" s="110">
        <v>2.1789999999999998</v>
      </c>
      <c r="AF15" s="113">
        <v>6.94</v>
      </c>
      <c r="AG15" s="109" t="s">
        <v>188</v>
      </c>
      <c r="AH15" s="110">
        <v>1.843</v>
      </c>
      <c r="AI15" s="108">
        <v>10.75</v>
      </c>
      <c r="AJ15" s="109" t="s">
        <v>188</v>
      </c>
      <c r="AK15" s="110">
        <v>1.2150000000000001</v>
      </c>
      <c r="AL15" s="108">
        <v>10.75</v>
      </c>
      <c r="AM15" s="109" t="s">
        <v>188</v>
      </c>
      <c r="AN15" s="110">
        <v>1.6930000000000001</v>
      </c>
      <c r="AO15" s="115"/>
      <c r="AQ15" s="233" t="s">
        <v>41</v>
      </c>
      <c r="AR15" s="238">
        <v>41.636363636363633</v>
      </c>
      <c r="AS15" s="237" t="s">
        <v>188</v>
      </c>
      <c r="AT15" s="238">
        <v>8.3924311395983722</v>
      </c>
      <c r="AU15" s="238"/>
      <c r="AV15" s="238">
        <v>44.166666666666664</v>
      </c>
      <c r="AW15" s="237" t="s">
        <v>188</v>
      </c>
      <c r="AX15" s="238">
        <v>9.3886665093361046</v>
      </c>
      <c r="AZ15" s="263"/>
      <c r="BA15" s="161" t="s">
        <v>72</v>
      </c>
      <c r="BB15" s="258">
        <v>-1.69</v>
      </c>
      <c r="BC15" s="258" t="s">
        <v>532</v>
      </c>
      <c r="BD15" s="258" t="s">
        <v>426</v>
      </c>
      <c r="BE15" s="163" t="s">
        <v>414</v>
      </c>
      <c r="BF15" s="163">
        <v>0.19</v>
      </c>
      <c r="BG15" s="163" t="s">
        <v>549</v>
      </c>
      <c r="BH15" s="163" t="s">
        <v>439</v>
      </c>
      <c r="BI15" s="163" t="s">
        <v>452</v>
      </c>
      <c r="BJ15" s="163">
        <v>0.24</v>
      </c>
      <c r="BK15" s="163" t="s">
        <v>553</v>
      </c>
      <c r="BL15" s="163" t="s">
        <v>466</v>
      </c>
      <c r="BM15" s="163" t="s">
        <v>478</v>
      </c>
      <c r="BN15" s="163">
        <v>0.02</v>
      </c>
      <c r="BO15" s="163" t="s">
        <v>560</v>
      </c>
      <c r="BP15" s="163" t="s">
        <v>491</v>
      </c>
      <c r="BQ15" s="163" t="s">
        <v>501</v>
      </c>
      <c r="BR15" s="163">
        <v>0.08</v>
      </c>
      <c r="BS15" s="163" t="s">
        <v>566</v>
      </c>
      <c r="BT15" s="163" t="s">
        <v>512</v>
      </c>
      <c r="BU15" s="163" t="s">
        <v>523</v>
      </c>
    </row>
    <row r="16" spans="1:79">
      <c r="A16" s="89" t="s">
        <v>44</v>
      </c>
      <c r="B16" s="95">
        <v>26</v>
      </c>
      <c r="C16" s="64">
        <f t="shared" ref="C16:C21" si="2">B16/42</f>
        <v>0.61904761904761907</v>
      </c>
      <c r="D16" s="95">
        <v>36</v>
      </c>
      <c r="E16" s="64">
        <f t="shared" ref="E16:E21" si="3">D16/46</f>
        <v>0.78260869565217395</v>
      </c>
      <c r="F16" s="95">
        <f t="shared" ref="F16:F21" si="4">SUM(B16+D16)</f>
        <v>62</v>
      </c>
      <c r="G16" s="127">
        <f>F16/88</f>
        <v>0.70454545454545459</v>
      </c>
      <c r="H16" s="71"/>
      <c r="J16" s="107" t="s">
        <v>41</v>
      </c>
      <c r="K16" s="108">
        <v>31.05</v>
      </c>
      <c r="L16" s="109" t="s">
        <v>188</v>
      </c>
      <c r="M16" s="110">
        <v>4.6950000000000003</v>
      </c>
      <c r="N16" s="108">
        <v>31.11</v>
      </c>
      <c r="O16" s="109" t="s">
        <v>188</v>
      </c>
      <c r="P16" s="110">
        <v>6.0279999999999996</v>
      </c>
      <c r="Q16" s="108">
        <v>21.5</v>
      </c>
      <c r="R16" s="109" t="s">
        <v>188</v>
      </c>
      <c r="S16" s="110">
        <v>7.7869999999999999</v>
      </c>
      <c r="T16" s="108">
        <v>21.83</v>
      </c>
      <c r="U16" s="109" t="s">
        <v>188</v>
      </c>
      <c r="V16" s="110">
        <v>7.4770000000000003</v>
      </c>
      <c r="W16" s="108">
        <v>17.64</v>
      </c>
      <c r="X16" s="109" t="s">
        <v>188</v>
      </c>
      <c r="Y16" s="110">
        <v>4.5309999999999997</v>
      </c>
      <c r="Z16" s="108">
        <v>17.170000000000002</v>
      </c>
      <c r="AA16" s="109" t="s">
        <v>188</v>
      </c>
      <c r="AB16" s="110">
        <v>4.5919999999999996</v>
      </c>
      <c r="AC16" s="108">
        <v>7.86</v>
      </c>
      <c r="AD16" s="109" t="s">
        <v>188</v>
      </c>
      <c r="AE16" s="110">
        <v>2.5499999999999998</v>
      </c>
      <c r="AF16" s="108">
        <v>8.5</v>
      </c>
      <c r="AG16" s="109" t="s">
        <v>188</v>
      </c>
      <c r="AH16" s="110">
        <v>1.6539999999999999</v>
      </c>
      <c r="AI16" s="108">
        <v>11</v>
      </c>
      <c r="AJ16" s="109" t="s">
        <v>188</v>
      </c>
      <c r="AK16" s="110">
        <v>1.1950000000000001</v>
      </c>
      <c r="AL16" s="108">
        <v>11.33</v>
      </c>
      <c r="AM16" s="109" t="s">
        <v>188</v>
      </c>
      <c r="AN16" s="110">
        <v>0.97</v>
      </c>
      <c r="AO16" s="115"/>
      <c r="AQ16" s="104" t="s">
        <v>42</v>
      </c>
      <c r="AR16" s="238">
        <v>48.333333333333336</v>
      </c>
      <c r="AS16" s="237" t="s">
        <v>188</v>
      </c>
      <c r="AT16" s="238">
        <v>4.1633319989322652</v>
      </c>
      <c r="AU16" s="238"/>
      <c r="AV16" s="238">
        <v>49</v>
      </c>
      <c r="AW16" s="237" t="s">
        <v>188</v>
      </c>
      <c r="AX16" s="239" t="s">
        <v>189</v>
      </c>
      <c r="AZ16" s="263"/>
      <c r="BA16" s="161" t="s">
        <v>73</v>
      </c>
      <c r="BB16" s="258">
        <v>-0.06</v>
      </c>
      <c r="BC16" s="258" t="s">
        <v>533</v>
      </c>
      <c r="BD16" s="258" t="s">
        <v>427</v>
      </c>
      <c r="BE16" s="163" t="s">
        <v>415</v>
      </c>
      <c r="BF16" s="163">
        <v>-0.17</v>
      </c>
      <c r="BG16" s="163" t="s">
        <v>550</v>
      </c>
      <c r="BH16" s="163" t="s">
        <v>440</v>
      </c>
      <c r="BI16" s="163" t="s">
        <v>453</v>
      </c>
      <c r="BJ16" s="264">
        <v>-1E-3</v>
      </c>
      <c r="BK16" s="163" t="s">
        <v>554</v>
      </c>
      <c r="BL16" s="163" t="s">
        <v>465</v>
      </c>
      <c r="BM16" s="163" t="s">
        <v>479</v>
      </c>
      <c r="BN16" s="163">
        <v>0.03</v>
      </c>
      <c r="BO16" s="163" t="s">
        <v>561</v>
      </c>
      <c r="BP16" s="163" t="s">
        <v>469</v>
      </c>
      <c r="BQ16" s="163" t="s">
        <v>502</v>
      </c>
      <c r="BR16" s="163">
        <v>0.08</v>
      </c>
      <c r="BS16" s="163" t="s">
        <v>567</v>
      </c>
      <c r="BT16" s="163" t="s">
        <v>513</v>
      </c>
      <c r="BU16" s="163" t="s">
        <v>524</v>
      </c>
    </row>
    <row r="17" spans="1:73" ht="15" customHeight="1">
      <c r="A17" s="89" t="s">
        <v>45</v>
      </c>
      <c r="B17" s="95">
        <v>11</v>
      </c>
      <c r="C17" s="64">
        <f t="shared" si="2"/>
        <v>0.26190476190476192</v>
      </c>
      <c r="D17" s="95">
        <v>8</v>
      </c>
      <c r="E17" s="64">
        <f t="shared" si="3"/>
        <v>0.17391304347826086</v>
      </c>
      <c r="F17" s="95">
        <f t="shared" si="4"/>
        <v>19</v>
      </c>
      <c r="G17" s="127">
        <f t="shared" ref="G17:G26" si="5">F17/88</f>
        <v>0.21590909090909091</v>
      </c>
      <c r="H17" s="71"/>
      <c r="J17" s="103" t="s">
        <v>42</v>
      </c>
      <c r="K17" s="108">
        <v>30.33</v>
      </c>
      <c r="L17" s="109" t="s">
        <v>188</v>
      </c>
      <c r="M17" s="110">
        <v>2.887</v>
      </c>
      <c r="N17" s="108">
        <v>21</v>
      </c>
      <c r="O17" s="109" t="s">
        <v>188</v>
      </c>
      <c r="P17" s="114" t="s">
        <v>189</v>
      </c>
      <c r="Q17" s="108">
        <v>24.33</v>
      </c>
      <c r="R17" s="109" t="s">
        <v>188</v>
      </c>
      <c r="S17" s="110">
        <v>2.5169999999999999</v>
      </c>
      <c r="T17" s="108">
        <v>14</v>
      </c>
      <c r="U17" s="109" t="s">
        <v>188</v>
      </c>
      <c r="V17" s="115" t="s">
        <v>189</v>
      </c>
      <c r="W17" s="108">
        <v>20</v>
      </c>
      <c r="X17" s="109" t="s">
        <v>188</v>
      </c>
      <c r="Y17" s="110">
        <v>6</v>
      </c>
      <c r="Z17" s="108">
        <v>13</v>
      </c>
      <c r="AA17" s="109" t="s">
        <v>188</v>
      </c>
      <c r="AB17" s="115" t="s">
        <v>189</v>
      </c>
      <c r="AC17" s="108">
        <v>9</v>
      </c>
      <c r="AD17" s="109" t="s">
        <v>188</v>
      </c>
      <c r="AE17" s="110">
        <v>1</v>
      </c>
      <c r="AF17" s="108">
        <v>4</v>
      </c>
      <c r="AG17" s="109" t="s">
        <v>188</v>
      </c>
      <c r="AH17" s="115" t="s">
        <v>189</v>
      </c>
      <c r="AI17" s="108">
        <v>11.33</v>
      </c>
      <c r="AJ17" s="109" t="s">
        <v>188</v>
      </c>
      <c r="AK17" s="110">
        <v>0.57699999999999996</v>
      </c>
      <c r="AL17" s="108">
        <v>11</v>
      </c>
      <c r="AM17" s="109" t="s">
        <v>188</v>
      </c>
      <c r="AN17" s="115" t="s">
        <v>189</v>
      </c>
      <c r="AO17" s="153"/>
      <c r="AP17" s="70"/>
      <c r="AQ17" s="270" t="s">
        <v>43</v>
      </c>
      <c r="AR17" s="270"/>
      <c r="AS17" s="270"/>
      <c r="AT17" s="270"/>
      <c r="AU17" s="270"/>
      <c r="AV17" s="270"/>
      <c r="AW17" s="270"/>
      <c r="AX17" s="270"/>
      <c r="AY17" s="70"/>
      <c r="AZ17" s="263"/>
      <c r="BA17" s="160" t="s">
        <v>284</v>
      </c>
      <c r="BB17" s="258">
        <v>-7.3</v>
      </c>
      <c r="BC17" s="259" t="s">
        <v>534</v>
      </c>
      <c r="BD17" s="258" t="s">
        <v>428</v>
      </c>
      <c r="BE17" s="163" t="s">
        <v>416</v>
      </c>
      <c r="BF17" s="163">
        <v>-7.98</v>
      </c>
      <c r="BG17" s="163" t="s">
        <v>539</v>
      </c>
      <c r="BH17" s="163" t="s">
        <v>441</v>
      </c>
      <c r="BI17" s="163" t="s">
        <v>454</v>
      </c>
      <c r="BJ17" s="163">
        <v>-4.16</v>
      </c>
      <c r="BK17" s="163" t="s">
        <v>555</v>
      </c>
      <c r="BL17" s="164" t="s">
        <v>467</v>
      </c>
      <c r="BM17" s="163" t="s">
        <v>480</v>
      </c>
      <c r="BN17" s="163">
        <v>-2.0299999999999998</v>
      </c>
      <c r="BO17" s="163" t="s">
        <v>562</v>
      </c>
      <c r="BP17" s="164" t="s">
        <v>492</v>
      </c>
      <c r="BQ17" s="163" t="s">
        <v>503</v>
      </c>
      <c r="BR17" s="163">
        <v>-0.9</v>
      </c>
      <c r="BS17" s="163" t="s">
        <v>568</v>
      </c>
      <c r="BT17" s="164" t="s">
        <v>514</v>
      </c>
      <c r="BU17" s="163" t="s">
        <v>525</v>
      </c>
    </row>
    <row r="18" spans="1:73" ht="15" customHeight="1">
      <c r="A18" s="89" t="s">
        <v>46</v>
      </c>
      <c r="B18" s="95">
        <v>3</v>
      </c>
      <c r="C18" s="64">
        <f t="shared" si="2"/>
        <v>7.1428571428571425E-2</v>
      </c>
      <c r="D18" s="95">
        <v>2</v>
      </c>
      <c r="E18" s="64">
        <f t="shared" si="3"/>
        <v>4.3478260869565216E-2</v>
      </c>
      <c r="F18" s="95">
        <f t="shared" si="4"/>
        <v>5</v>
      </c>
      <c r="G18" s="127">
        <f t="shared" si="5"/>
        <v>5.6818181818181816E-2</v>
      </c>
      <c r="H18" s="71"/>
      <c r="J18" s="153" t="s">
        <v>43</v>
      </c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65"/>
      <c r="AQ18" s="232" t="s">
        <v>191</v>
      </c>
      <c r="AR18" s="269" t="s">
        <v>346</v>
      </c>
      <c r="AS18" s="269"/>
      <c r="AT18" s="269"/>
      <c r="AU18" s="256"/>
      <c r="AV18" s="269" t="s">
        <v>347</v>
      </c>
      <c r="AW18" s="269"/>
      <c r="AX18" s="269"/>
      <c r="AZ18" s="263"/>
      <c r="BA18" s="160" t="s">
        <v>285</v>
      </c>
      <c r="BB18" s="258">
        <v>5.36</v>
      </c>
      <c r="BC18" s="259" t="s">
        <v>535</v>
      </c>
      <c r="BD18" s="258" t="s">
        <v>429</v>
      </c>
      <c r="BE18" s="163" t="s">
        <v>417</v>
      </c>
      <c r="BF18" s="163">
        <v>4.97</v>
      </c>
      <c r="BG18" s="163" t="s">
        <v>538</v>
      </c>
      <c r="BH18" s="163" t="s">
        <v>442</v>
      </c>
      <c r="BI18" s="163" t="s">
        <v>455</v>
      </c>
      <c r="BJ18" s="163">
        <v>2.25</v>
      </c>
      <c r="BK18" s="163" t="s">
        <v>556</v>
      </c>
      <c r="BL18" s="163" t="s">
        <v>468</v>
      </c>
      <c r="BM18" s="163" t="s">
        <v>481</v>
      </c>
      <c r="BN18" s="163">
        <v>0.46</v>
      </c>
      <c r="BO18" s="163" t="s">
        <v>563</v>
      </c>
      <c r="BP18" s="163" t="s">
        <v>442</v>
      </c>
      <c r="BQ18" s="163" t="s">
        <v>504</v>
      </c>
      <c r="BR18" s="163">
        <v>0.17</v>
      </c>
      <c r="BS18" s="163" t="s">
        <v>569</v>
      </c>
      <c r="BT18" s="163" t="s">
        <v>491</v>
      </c>
      <c r="BU18" s="163" t="s">
        <v>526</v>
      </c>
    </row>
    <row r="19" spans="1:73" ht="15" customHeight="1">
      <c r="A19" s="89" t="s">
        <v>47</v>
      </c>
      <c r="B19" s="95">
        <v>0</v>
      </c>
      <c r="C19" s="64">
        <f t="shared" si="2"/>
        <v>0</v>
      </c>
      <c r="D19" s="95">
        <v>0</v>
      </c>
      <c r="E19" s="64">
        <f t="shared" si="3"/>
        <v>0</v>
      </c>
      <c r="F19" s="95">
        <f t="shared" si="4"/>
        <v>0</v>
      </c>
      <c r="G19" s="127">
        <f t="shared" si="5"/>
        <v>0</v>
      </c>
      <c r="H19" s="71"/>
      <c r="J19" s="106" t="s">
        <v>191</v>
      </c>
      <c r="K19" s="268" t="s">
        <v>223</v>
      </c>
      <c r="L19" s="268"/>
      <c r="M19" s="268"/>
      <c r="N19" s="268" t="s">
        <v>231</v>
      </c>
      <c r="O19" s="268"/>
      <c r="P19" s="268"/>
      <c r="Q19" s="268" t="s">
        <v>232</v>
      </c>
      <c r="R19" s="268"/>
      <c r="S19" s="268"/>
      <c r="T19" s="268" t="s">
        <v>233</v>
      </c>
      <c r="U19" s="268"/>
      <c r="V19" s="268"/>
      <c r="W19" s="268" t="s">
        <v>251</v>
      </c>
      <c r="X19" s="268"/>
      <c r="Y19" s="268"/>
      <c r="Z19" s="268" t="s">
        <v>252</v>
      </c>
      <c r="AA19" s="268"/>
      <c r="AB19" s="268"/>
      <c r="AC19" s="268" t="s">
        <v>253</v>
      </c>
      <c r="AD19" s="268"/>
      <c r="AE19" s="268"/>
      <c r="AF19" s="268" t="s">
        <v>254</v>
      </c>
      <c r="AG19" s="268"/>
      <c r="AH19" s="268"/>
      <c r="AI19" s="268" t="s">
        <v>233</v>
      </c>
      <c r="AJ19" s="268"/>
      <c r="AK19" s="268"/>
      <c r="AL19" s="268" t="s">
        <v>255</v>
      </c>
      <c r="AM19" s="268"/>
      <c r="AN19" s="268"/>
      <c r="AO19" s="110"/>
      <c r="AQ19" s="104" t="s">
        <v>44</v>
      </c>
      <c r="AR19" s="238">
        <v>36.92307692307692</v>
      </c>
      <c r="AS19" s="237" t="s">
        <v>188</v>
      </c>
      <c r="AT19" s="238">
        <v>7.249403158456988</v>
      </c>
      <c r="AU19" s="238"/>
      <c r="AV19" s="238">
        <v>38.166666666666664</v>
      </c>
      <c r="AW19" s="237" t="s">
        <v>188</v>
      </c>
      <c r="AX19" s="238">
        <v>9.9268754974995606</v>
      </c>
      <c r="AZ19" s="263"/>
      <c r="BA19" s="162" t="s">
        <v>267</v>
      </c>
      <c r="BB19" s="265">
        <v>0.38</v>
      </c>
      <c r="BC19" s="265" t="s">
        <v>536</v>
      </c>
      <c r="BD19" s="265" t="s">
        <v>430</v>
      </c>
      <c r="BE19" s="266" t="s">
        <v>418</v>
      </c>
      <c r="BF19" s="266">
        <v>0.35</v>
      </c>
      <c r="BG19" s="266" t="s">
        <v>537</v>
      </c>
      <c r="BH19" s="266" t="s">
        <v>443</v>
      </c>
      <c r="BI19" s="266" t="s">
        <v>456</v>
      </c>
      <c r="BJ19" s="266">
        <v>0.15</v>
      </c>
      <c r="BK19" s="266" t="s">
        <v>557</v>
      </c>
      <c r="BL19" s="266" t="s">
        <v>469</v>
      </c>
      <c r="BM19" s="266" t="s">
        <v>482</v>
      </c>
      <c r="BN19" s="266">
        <v>0.09</v>
      </c>
      <c r="BO19" s="266" t="s">
        <v>564</v>
      </c>
      <c r="BP19" s="266" t="s">
        <v>371</v>
      </c>
      <c r="BQ19" s="266" t="s">
        <v>374</v>
      </c>
      <c r="BR19" s="266">
        <v>0.04</v>
      </c>
      <c r="BS19" s="266" t="s">
        <v>570</v>
      </c>
      <c r="BT19" s="163" t="s">
        <v>368</v>
      </c>
      <c r="BU19" s="163" t="s">
        <v>375</v>
      </c>
    </row>
    <row r="20" spans="1:73" ht="24">
      <c r="A20" s="89" t="s">
        <v>48</v>
      </c>
      <c r="B20" s="95">
        <v>1</v>
      </c>
      <c r="C20" s="64">
        <f t="shared" si="2"/>
        <v>2.3809523809523808E-2</v>
      </c>
      <c r="D20" s="95">
        <v>0</v>
      </c>
      <c r="E20" s="64">
        <f t="shared" si="3"/>
        <v>0</v>
      </c>
      <c r="F20" s="95">
        <f t="shared" si="4"/>
        <v>1</v>
      </c>
      <c r="G20" s="127">
        <f t="shared" si="5"/>
        <v>1.1363636363636364E-2</v>
      </c>
      <c r="H20" s="64"/>
      <c r="J20" s="103" t="s">
        <v>44</v>
      </c>
      <c r="K20" s="108">
        <v>28.42</v>
      </c>
      <c r="L20" s="109" t="s">
        <v>188</v>
      </c>
      <c r="M20" s="110">
        <v>7.4359999999999999</v>
      </c>
      <c r="N20" s="108">
        <v>24.42</v>
      </c>
      <c r="O20" s="109" t="s">
        <v>188</v>
      </c>
      <c r="P20" s="110">
        <v>9.3550000000000004</v>
      </c>
      <c r="Q20" s="108">
        <v>19.46</v>
      </c>
      <c r="R20" s="109" t="s">
        <v>188</v>
      </c>
      <c r="S20" s="110">
        <v>9.109</v>
      </c>
      <c r="T20" s="108">
        <v>19.55</v>
      </c>
      <c r="U20" s="109" t="s">
        <v>188</v>
      </c>
      <c r="V20" s="110">
        <v>9.0289999999999999</v>
      </c>
      <c r="W20" s="108">
        <v>15.69</v>
      </c>
      <c r="X20" s="109" t="s">
        <v>188</v>
      </c>
      <c r="Y20" s="110">
        <v>4.7389999999999999</v>
      </c>
      <c r="Z20" s="108">
        <v>14.64</v>
      </c>
      <c r="AA20" s="109" t="s">
        <v>188</v>
      </c>
      <c r="AB20" s="110">
        <v>4.8230000000000004</v>
      </c>
      <c r="AC20" s="108">
        <v>6.54</v>
      </c>
      <c r="AD20" s="109" t="s">
        <v>188</v>
      </c>
      <c r="AE20" s="110">
        <v>2.702</v>
      </c>
      <c r="AF20" s="113">
        <v>7.06</v>
      </c>
      <c r="AG20" s="109" t="s">
        <v>188</v>
      </c>
      <c r="AH20" s="110">
        <v>2.5059999999999998</v>
      </c>
      <c r="AI20" s="108">
        <v>10.81</v>
      </c>
      <c r="AJ20" s="109" t="s">
        <v>188</v>
      </c>
      <c r="AK20" s="110">
        <v>1.234</v>
      </c>
      <c r="AL20" s="108">
        <v>10.64</v>
      </c>
      <c r="AM20" s="109" t="s">
        <v>188</v>
      </c>
      <c r="AN20" s="110">
        <v>1.839</v>
      </c>
      <c r="AO20" s="110"/>
      <c r="AQ20" s="104" t="s">
        <v>45</v>
      </c>
      <c r="AR20" s="238">
        <v>37.81818181818182</v>
      </c>
      <c r="AS20" s="237" t="s">
        <v>188</v>
      </c>
      <c r="AT20" s="238">
        <v>12.278584460907389</v>
      </c>
      <c r="AU20" s="238"/>
      <c r="AV20" s="238">
        <v>40.375</v>
      </c>
      <c r="AW20" s="237" t="s">
        <v>188</v>
      </c>
      <c r="AX20" s="238">
        <v>15.249707257143376</v>
      </c>
      <c r="AZ20" s="263"/>
      <c r="BB20" s="258"/>
      <c r="BC20" s="258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</row>
    <row r="21" spans="1:73" ht="24">
      <c r="A21" s="89" t="s">
        <v>49</v>
      </c>
      <c r="B21" s="95">
        <v>1</v>
      </c>
      <c r="C21" s="64">
        <f t="shared" si="2"/>
        <v>2.3809523809523808E-2</v>
      </c>
      <c r="D21" s="95">
        <v>0</v>
      </c>
      <c r="E21" s="64">
        <f t="shared" si="3"/>
        <v>0</v>
      </c>
      <c r="F21" s="95">
        <f t="shared" si="4"/>
        <v>1</v>
      </c>
      <c r="G21" s="127">
        <f t="shared" si="5"/>
        <v>1.1363636363636364E-2</v>
      </c>
      <c r="H21" s="64"/>
      <c r="J21" s="103" t="s">
        <v>45</v>
      </c>
      <c r="K21" s="108">
        <v>27.45</v>
      </c>
      <c r="L21" s="109" t="s">
        <v>188</v>
      </c>
      <c r="M21" s="110">
        <v>9.1140000000000008</v>
      </c>
      <c r="N21" s="108">
        <v>26.38</v>
      </c>
      <c r="O21" s="109" t="s">
        <v>188</v>
      </c>
      <c r="P21" s="110">
        <v>9.9849999999999994</v>
      </c>
      <c r="Q21" s="108">
        <v>20.18</v>
      </c>
      <c r="R21" s="109" t="s">
        <v>188</v>
      </c>
      <c r="S21" s="110">
        <v>10.108000000000001</v>
      </c>
      <c r="T21" s="108">
        <v>14.78</v>
      </c>
      <c r="U21" s="109" t="s">
        <v>188</v>
      </c>
      <c r="V21" s="110">
        <v>7.6120000000000001</v>
      </c>
      <c r="W21" s="108">
        <v>17.36</v>
      </c>
      <c r="X21" s="109" t="s">
        <v>188</v>
      </c>
      <c r="Y21" s="110">
        <v>4.9850000000000003</v>
      </c>
      <c r="Z21" s="108">
        <v>13.88</v>
      </c>
      <c r="AA21" s="109" t="s">
        <v>188</v>
      </c>
      <c r="AB21" s="110">
        <v>4.3899999999999997</v>
      </c>
      <c r="AC21" s="108">
        <v>8.36</v>
      </c>
      <c r="AD21" s="109" t="s">
        <v>188</v>
      </c>
      <c r="AE21" s="110">
        <v>1.748</v>
      </c>
      <c r="AF21" s="113">
        <v>6.75</v>
      </c>
      <c r="AG21" s="109" t="s">
        <v>188</v>
      </c>
      <c r="AH21" s="110">
        <v>1.669</v>
      </c>
      <c r="AI21" s="108">
        <v>10.91</v>
      </c>
      <c r="AJ21" s="109" t="s">
        <v>188</v>
      </c>
      <c r="AK21" s="110">
        <v>1.2210000000000001</v>
      </c>
      <c r="AL21" s="108">
        <v>10.63</v>
      </c>
      <c r="AM21" s="109" t="s">
        <v>188</v>
      </c>
      <c r="AN21" s="110">
        <v>1.506</v>
      </c>
      <c r="AO21" s="110"/>
      <c r="AQ21" s="104" t="s">
        <v>46</v>
      </c>
      <c r="AR21" s="238">
        <v>44</v>
      </c>
      <c r="AS21" s="237" t="s">
        <v>188</v>
      </c>
      <c r="AT21" s="238">
        <v>1</v>
      </c>
      <c r="AU21" s="238"/>
      <c r="AV21" s="238">
        <v>47</v>
      </c>
      <c r="AW21" s="237" t="s">
        <v>188</v>
      </c>
      <c r="AX21" s="238">
        <v>2.8284271247461903</v>
      </c>
      <c r="AZ21" s="263"/>
      <c r="BB21" s="258"/>
      <c r="BC21" s="258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</row>
    <row r="22" spans="1:73" ht="15" customHeight="1">
      <c r="A22" s="255" t="s">
        <v>50</v>
      </c>
      <c r="B22" s="255"/>
      <c r="C22" s="255"/>
      <c r="D22" s="255"/>
      <c r="E22" s="255"/>
      <c r="F22" s="255"/>
      <c r="G22" s="255"/>
      <c r="H22" s="64"/>
      <c r="J22" s="103" t="s">
        <v>46</v>
      </c>
      <c r="K22" s="108">
        <v>26</v>
      </c>
      <c r="L22" s="109" t="s">
        <v>188</v>
      </c>
      <c r="M22" s="110">
        <v>8.718</v>
      </c>
      <c r="N22" s="108">
        <v>25.5</v>
      </c>
      <c r="O22" s="109" t="s">
        <v>188</v>
      </c>
      <c r="P22" s="110">
        <v>6.3639999999999999</v>
      </c>
      <c r="Q22" s="108">
        <v>14.67</v>
      </c>
      <c r="R22" s="109" t="s">
        <v>188</v>
      </c>
      <c r="S22" s="110">
        <v>7.3710000000000004</v>
      </c>
      <c r="T22" s="108">
        <v>16.88</v>
      </c>
      <c r="U22" s="109" t="s">
        <v>188</v>
      </c>
      <c r="V22" s="110">
        <v>10.48</v>
      </c>
      <c r="W22" s="108">
        <v>15.33</v>
      </c>
      <c r="X22" s="109" t="s">
        <v>188</v>
      </c>
      <c r="Y22" s="110">
        <v>5.859</v>
      </c>
      <c r="Z22" s="108">
        <v>15.5</v>
      </c>
      <c r="AA22" s="109" t="s">
        <v>188</v>
      </c>
      <c r="AB22" s="110">
        <v>3.536</v>
      </c>
      <c r="AC22" s="108">
        <v>7</v>
      </c>
      <c r="AD22" s="109" t="s">
        <v>188</v>
      </c>
      <c r="AE22" s="110">
        <v>1.732</v>
      </c>
      <c r="AF22" s="113">
        <v>5.5</v>
      </c>
      <c r="AG22" s="109" t="s">
        <v>188</v>
      </c>
      <c r="AH22" s="110">
        <v>2.121</v>
      </c>
      <c r="AI22" s="108">
        <v>11</v>
      </c>
      <c r="AJ22" s="109" t="s">
        <v>188</v>
      </c>
      <c r="AK22" s="110">
        <v>1.732</v>
      </c>
      <c r="AL22" s="108">
        <v>10.5</v>
      </c>
      <c r="AM22" s="109" t="s">
        <v>188</v>
      </c>
      <c r="AN22" s="110">
        <v>0.70699999999999996</v>
      </c>
      <c r="AO22" s="115"/>
      <c r="AQ22" s="104" t="s">
        <v>47</v>
      </c>
      <c r="AR22" s="239" t="s">
        <v>189</v>
      </c>
      <c r="AS22" s="237" t="s">
        <v>188</v>
      </c>
      <c r="AT22" s="239" t="s">
        <v>189</v>
      </c>
      <c r="AU22" s="239"/>
      <c r="AV22" s="239" t="s">
        <v>189</v>
      </c>
      <c r="AW22" s="237" t="s">
        <v>188</v>
      </c>
      <c r="AX22" s="239" t="s">
        <v>189</v>
      </c>
      <c r="AZ22" s="263"/>
      <c r="BB22" s="258"/>
      <c r="BC22" s="258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</row>
    <row r="23" spans="1:73" ht="24">
      <c r="A23" s="91" t="s">
        <v>3</v>
      </c>
      <c r="B23" s="95">
        <v>19</v>
      </c>
      <c r="C23" s="64">
        <f>B23/42</f>
        <v>0.45238095238095238</v>
      </c>
      <c r="D23" s="95">
        <v>1</v>
      </c>
      <c r="E23" s="64">
        <f>D23/46</f>
        <v>2.1739130434782608E-2</v>
      </c>
      <c r="F23" s="95">
        <f>SUM(B23+D23)</f>
        <v>20</v>
      </c>
      <c r="G23" s="127">
        <f t="shared" si="5"/>
        <v>0.22727272727272727</v>
      </c>
      <c r="H23" s="64"/>
      <c r="J23" s="103" t="s">
        <v>47</v>
      </c>
      <c r="K23" s="108">
        <v>0</v>
      </c>
      <c r="L23" s="109" t="s">
        <v>188</v>
      </c>
      <c r="M23" s="114" t="s">
        <v>189</v>
      </c>
      <c r="N23" s="108">
        <v>0</v>
      </c>
      <c r="O23" s="109" t="s">
        <v>188</v>
      </c>
      <c r="P23" s="114" t="s">
        <v>189</v>
      </c>
      <c r="Q23" s="108">
        <v>0</v>
      </c>
      <c r="R23" s="109" t="s">
        <v>188</v>
      </c>
      <c r="S23" s="115" t="s">
        <v>189</v>
      </c>
      <c r="T23" s="108">
        <v>13</v>
      </c>
      <c r="U23" s="109" t="s">
        <v>188</v>
      </c>
      <c r="V23" s="110">
        <v>1.4139999999999999</v>
      </c>
      <c r="W23" s="108">
        <v>0</v>
      </c>
      <c r="X23" s="109" t="s">
        <v>188</v>
      </c>
      <c r="Y23" s="115" t="s">
        <v>189</v>
      </c>
      <c r="Z23" s="108">
        <v>0</v>
      </c>
      <c r="AA23" s="109" t="s">
        <v>188</v>
      </c>
      <c r="AB23" s="115" t="s">
        <v>189</v>
      </c>
      <c r="AC23" s="108">
        <v>0</v>
      </c>
      <c r="AD23" s="109" t="s">
        <v>188</v>
      </c>
      <c r="AE23" s="115" t="s">
        <v>189</v>
      </c>
      <c r="AF23" s="113">
        <v>0</v>
      </c>
      <c r="AG23" s="109" t="s">
        <v>188</v>
      </c>
      <c r="AH23" s="115" t="s">
        <v>189</v>
      </c>
      <c r="AI23" s="108">
        <v>0</v>
      </c>
      <c r="AJ23" s="109" t="s">
        <v>188</v>
      </c>
      <c r="AK23" s="115" t="s">
        <v>189</v>
      </c>
      <c r="AL23" s="108">
        <v>0</v>
      </c>
      <c r="AM23" s="109" t="s">
        <v>188</v>
      </c>
      <c r="AN23" s="115" t="s">
        <v>189</v>
      </c>
      <c r="AO23" s="153"/>
      <c r="AQ23" s="104" t="s">
        <v>48</v>
      </c>
      <c r="AR23" s="238">
        <v>47</v>
      </c>
      <c r="AS23" s="237" t="s">
        <v>188</v>
      </c>
      <c r="AT23" s="239" t="s">
        <v>189</v>
      </c>
      <c r="AU23" s="239"/>
      <c r="AV23" s="239" t="s">
        <v>189</v>
      </c>
      <c r="AW23" s="237" t="s">
        <v>188</v>
      </c>
      <c r="AX23" s="239" t="s">
        <v>189</v>
      </c>
      <c r="AZ23" s="267"/>
      <c r="BB23" s="261"/>
      <c r="BC23" s="261"/>
      <c r="BD23" s="262"/>
      <c r="BE23" s="262"/>
      <c r="BF23" s="262"/>
      <c r="BG23" s="262"/>
      <c r="BH23" s="262"/>
      <c r="BI23" s="262"/>
      <c r="BJ23" s="262"/>
      <c r="BK23" s="262"/>
      <c r="BL23" s="262"/>
      <c r="BM23" s="262"/>
      <c r="BN23" s="262"/>
      <c r="BO23" s="262"/>
      <c r="BP23" s="262"/>
      <c r="BQ23" s="262"/>
      <c r="BR23" s="262"/>
      <c r="BS23" s="262"/>
      <c r="BT23" s="262"/>
      <c r="BU23" s="262"/>
    </row>
    <row r="24" spans="1:73" ht="15" customHeight="1">
      <c r="A24" s="91" t="s">
        <v>2</v>
      </c>
      <c r="B24" s="95">
        <v>0</v>
      </c>
      <c r="C24" s="64">
        <f>B24/42</f>
        <v>0</v>
      </c>
      <c r="D24" s="95">
        <v>20</v>
      </c>
      <c r="E24" s="64">
        <f>D24/46</f>
        <v>0.43478260869565216</v>
      </c>
      <c r="F24" s="95">
        <f>SUM(B24+D24)</f>
        <v>20</v>
      </c>
      <c r="G24" s="127">
        <f t="shared" si="5"/>
        <v>0.22727272727272727</v>
      </c>
      <c r="H24" s="64"/>
      <c r="J24" s="104" t="s">
        <v>48</v>
      </c>
      <c r="K24" s="116">
        <v>32</v>
      </c>
      <c r="L24" s="109" t="s">
        <v>188</v>
      </c>
      <c r="M24" s="117" t="s">
        <v>189</v>
      </c>
      <c r="N24" s="116">
        <v>0</v>
      </c>
      <c r="O24" s="109" t="s">
        <v>188</v>
      </c>
      <c r="P24" s="117" t="s">
        <v>189</v>
      </c>
      <c r="Q24" s="108">
        <v>27</v>
      </c>
      <c r="R24" s="109" t="s">
        <v>188</v>
      </c>
      <c r="S24" s="115" t="s">
        <v>189</v>
      </c>
      <c r="T24" s="116">
        <v>0</v>
      </c>
      <c r="U24" s="109" t="s">
        <v>188</v>
      </c>
      <c r="V24" s="115" t="s">
        <v>189</v>
      </c>
      <c r="W24" s="108">
        <v>20</v>
      </c>
      <c r="X24" s="109" t="s">
        <v>188</v>
      </c>
      <c r="Y24" s="115" t="s">
        <v>189</v>
      </c>
      <c r="Z24" s="108">
        <v>0</v>
      </c>
      <c r="AA24" s="109" t="s">
        <v>188</v>
      </c>
      <c r="AB24" s="115" t="s">
        <v>189</v>
      </c>
      <c r="AC24" s="108">
        <v>9</v>
      </c>
      <c r="AD24" s="109" t="s">
        <v>188</v>
      </c>
      <c r="AE24" s="115" t="s">
        <v>189</v>
      </c>
      <c r="AF24" s="113">
        <v>0</v>
      </c>
      <c r="AG24" s="109" t="s">
        <v>188</v>
      </c>
      <c r="AH24" s="115" t="s">
        <v>189</v>
      </c>
      <c r="AI24" s="108">
        <v>11</v>
      </c>
      <c r="AJ24" s="109" t="s">
        <v>188</v>
      </c>
      <c r="AK24" s="115" t="s">
        <v>189</v>
      </c>
      <c r="AL24" s="108">
        <v>0</v>
      </c>
      <c r="AM24" s="109" t="s">
        <v>188</v>
      </c>
      <c r="AN24" s="115" t="s">
        <v>189</v>
      </c>
      <c r="AO24" s="165"/>
      <c r="AQ24" s="104" t="s">
        <v>49</v>
      </c>
      <c r="AR24" s="238">
        <v>53</v>
      </c>
      <c r="AS24" s="237" t="s">
        <v>188</v>
      </c>
      <c r="AT24" s="239" t="s">
        <v>189</v>
      </c>
      <c r="AU24" s="239"/>
      <c r="AV24" s="239" t="s">
        <v>189</v>
      </c>
      <c r="AW24" s="237" t="s">
        <v>188</v>
      </c>
      <c r="AX24" s="239" t="s">
        <v>189</v>
      </c>
      <c r="AZ24" s="25"/>
      <c r="BA24" s="141"/>
      <c r="BB24" s="156"/>
      <c r="BD24" s="158"/>
      <c r="BE24" s="158"/>
      <c r="BF24" s="80"/>
      <c r="BG24" s="80"/>
      <c r="BH24" s="141"/>
      <c r="BJ24" s="80"/>
      <c r="BK24" s="80"/>
      <c r="BL24" s="141"/>
      <c r="BN24" s="80"/>
      <c r="BO24" s="80"/>
      <c r="BP24" s="141"/>
      <c r="BR24" s="80"/>
      <c r="BS24" s="80"/>
      <c r="BT24" s="141"/>
    </row>
    <row r="25" spans="1:73" ht="24">
      <c r="A25" s="91" t="s">
        <v>166</v>
      </c>
      <c r="B25" s="95">
        <v>16</v>
      </c>
      <c r="C25" s="64">
        <f>B25/42</f>
        <v>0.38095238095238093</v>
      </c>
      <c r="D25" s="95">
        <v>24</v>
      </c>
      <c r="E25" s="64">
        <f>D25/46</f>
        <v>0.52173913043478259</v>
      </c>
      <c r="F25" s="95">
        <f>SUM(B25+D25)</f>
        <v>40</v>
      </c>
      <c r="G25" s="127">
        <f t="shared" si="5"/>
        <v>0.45454545454545453</v>
      </c>
      <c r="H25" s="64"/>
      <c r="J25" s="104" t="s">
        <v>49</v>
      </c>
      <c r="K25" s="116">
        <v>32</v>
      </c>
      <c r="L25" s="109" t="s">
        <v>188</v>
      </c>
      <c r="M25" s="117" t="s">
        <v>189</v>
      </c>
      <c r="N25" s="118">
        <v>0</v>
      </c>
      <c r="O25" s="109" t="s">
        <v>188</v>
      </c>
      <c r="P25" s="117" t="s">
        <v>189</v>
      </c>
      <c r="Q25" s="108">
        <v>22</v>
      </c>
      <c r="R25" s="109" t="s">
        <v>188</v>
      </c>
      <c r="S25" s="115" t="s">
        <v>189</v>
      </c>
      <c r="T25" s="118">
        <v>0</v>
      </c>
      <c r="U25" s="109" t="s">
        <v>188</v>
      </c>
      <c r="V25" s="115" t="s">
        <v>189</v>
      </c>
      <c r="W25" s="108">
        <v>14</v>
      </c>
      <c r="X25" s="109" t="s">
        <v>188</v>
      </c>
      <c r="Y25" s="115" t="s">
        <v>189</v>
      </c>
      <c r="Z25" s="108">
        <v>0</v>
      </c>
      <c r="AA25" s="109" t="s">
        <v>188</v>
      </c>
      <c r="AB25" s="115" t="s">
        <v>189</v>
      </c>
      <c r="AC25" s="108">
        <v>8</v>
      </c>
      <c r="AD25" s="109" t="s">
        <v>188</v>
      </c>
      <c r="AE25" s="115" t="s">
        <v>189</v>
      </c>
      <c r="AF25" s="113">
        <v>0</v>
      </c>
      <c r="AG25" s="109" t="s">
        <v>188</v>
      </c>
      <c r="AH25" s="115" t="s">
        <v>189</v>
      </c>
      <c r="AI25" s="108">
        <v>11</v>
      </c>
      <c r="AJ25" s="109" t="s">
        <v>188</v>
      </c>
      <c r="AK25" s="115" t="s">
        <v>189</v>
      </c>
      <c r="AL25" s="108">
        <v>0</v>
      </c>
      <c r="AM25" s="109" t="s">
        <v>188</v>
      </c>
      <c r="AN25" s="115" t="s">
        <v>189</v>
      </c>
      <c r="AO25" s="110"/>
      <c r="AQ25" s="270" t="s">
        <v>190</v>
      </c>
      <c r="AR25" s="270"/>
      <c r="AS25" s="270"/>
      <c r="AT25" s="270"/>
      <c r="AU25" s="270"/>
      <c r="AV25" s="270"/>
      <c r="AW25" s="270"/>
      <c r="AX25" s="270"/>
      <c r="BA25" s="141"/>
      <c r="BB25" s="156"/>
      <c r="BD25" s="158"/>
      <c r="BE25" s="158"/>
      <c r="BF25" s="80"/>
      <c r="BG25" s="80"/>
      <c r="BH25" s="141"/>
      <c r="BJ25" s="80"/>
      <c r="BK25" s="80"/>
      <c r="BL25" s="141"/>
      <c r="BN25" s="80"/>
      <c r="BO25" s="80"/>
      <c r="BP25" s="141"/>
      <c r="BR25" s="80"/>
      <c r="BS25" s="80"/>
      <c r="BT25" s="141"/>
    </row>
    <row r="26" spans="1:73">
      <c r="A26" s="91" t="s">
        <v>165</v>
      </c>
      <c r="B26" s="95">
        <v>7</v>
      </c>
      <c r="C26" s="64">
        <f>B26/42</f>
        <v>0.16666666666666666</v>
      </c>
      <c r="D26" s="95">
        <v>1</v>
      </c>
      <c r="E26" s="64">
        <f>D26/46</f>
        <v>2.1739130434782608E-2</v>
      </c>
      <c r="F26" s="95">
        <f>SUM(B26+D26)</f>
        <v>8</v>
      </c>
      <c r="G26" s="127">
        <f t="shared" si="5"/>
        <v>9.0909090909090912E-2</v>
      </c>
      <c r="H26" s="64"/>
      <c r="J26" s="153" t="s">
        <v>190</v>
      </c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10"/>
      <c r="AQ26" s="234"/>
      <c r="AR26" s="269" t="s">
        <v>348</v>
      </c>
      <c r="AS26" s="269"/>
      <c r="AT26" s="269"/>
      <c r="AU26" s="256"/>
      <c r="AV26" s="269" t="s">
        <v>349</v>
      </c>
      <c r="AW26" s="269"/>
      <c r="AX26" s="269"/>
      <c r="BA26" s="141"/>
      <c r="BB26" s="156"/>
      <c r="BD26" s="158"/>
      <c r="BE26" s="158"/>
      <c r="BH26" s="141"/>
      <c r="BL26" s="141"/>
      <c r="BP26" s="141"/>
      <c r="BT26" s="141"/>
    </row>
    <row r="27" spans="1:73" ht="15" customHeight="1">
      <c r="A27" s="255" t="s">
        <v>52</v>
      </c>
      <c r="B27" s="255"/>
      <c r="C27" s="255"/>
      <c r="D27" s="255"/>
      <c r="E27" s="255"/>
      <c r="F27" s="255"/>
      <c r="G27" s="255"/>
      <c r="H27" s="64"/>
      <c r="J27" s="106" t="s">
        <v>191</v>
      </c>
      <c r="K27" s="268" t="s">
        <v>234</v>
      </c>
      <c r="L27" s="268"/>
      <c r="M27" s="268"/>
      <c r="N27" s="268" t="s">
        <v>235</v>
      </c>
      <c r="O27" s="268"/>
      <c r="P27" s="268"/>
      <c r="Q27" s="268" t="s">
        <v>236</v>
      </c>
      <c r="R27" s="268"/>
      <c r="S27" s="268"/>
      <c r="T27" s="268" t="s">
        <v>237</v>
      </c>
      <c r="U27" s="268"/>
      <c r="V27" s="268"/>
      <c r="W27" s="268" t="s">
        <v>260</v>
      </c>
      <c r="X27" s="268"/>
      <c r="Y27" s="268"/>
      <c r="Z27" s="268" t="s">
        <v>261</v>
      </c>
      <c r="AA27" s="268"/>
      <c r="AB27" s="268"/>
      <c r="AC27" s="268" t="s">
        <v>256</v>
      </c>
      <c r="AD27" s="268"/>
      <c r="AE27" s="268"/>
      <c r="AF27" s="268" t="s">
        <v>257</v>
      </c>
      <c r="AG27" s="268"/>
      <c r="AH27" s="268"/>
      <c r="AI27" s="268" t="s">
        <v>258</v>
      </c>
      <c r="AJ27" s="268"/>
      <c r="AK27" s="268"/>
      <c r="AL27" s="268" t="s">
        <v>259</v>
      </c>
      <c r="AM27" s="268"/>
      <c r="AN27" s="268"/>
      <c r="AO27" s="110"/>
      <c r="AQ27" s="232" t="s">
        <v>68</v>
      </c>
      <c r="AR27" s="238">
        <v>38.3125</v>
      </c>
      <c r="AS27" s="237" t="s">
        <v>188</v>
      </c>
      <c r="AT27" s="238">
        <v>8.8220840319431701</v>
      </c>
      <c r="AU27" s="238"/>
      <c r="AV27" s="238">
        <v>37.291666666666664</v>
      </c>
      <c r="AW27" s="237" t="s">
        <v>188</v>
      </c>
      <c r="AX27" s="238">
        <v>11.011769066367787</v>
      </c>
    </row>
    <row r="28" spans="1:73">
      <c r="A28" s="51" t="s">
        <v>21</v>
      </c>
      <c r="B28" s="150">
        <v>31</v>
      </c>
      <c r="C28" s="64">
        <f>B28/42</f>
        <v>0.73809523809523814</v>
      </c>
      <c r="D28" s="150">
        <v>37</v>
      </c>
      <c r="E28" s="64">
        <f>D28/46</f>
        <v>0.80434782608695654</v>
      </c>
      <c r="F28" s="95">
        <f>SUM(B28+D28)</f>
        <v>68</v>
      </c>
      <c r="G28" s="127">
        <f>F28/88</f>
        <v>0.77272727272727271</v>
      </c>
      <c r="H28" s="64"/>
      <c r="J28" s="106" t="s">
        <v>68</v>
      </c>
      <c r="K28" s="108">
        <v>28.31</v>
      </c>
      <c r="L28" s="109" t="s">
        <v>188</v>
      </c>
      <c r="M28" s="110">
        <v>8.1460000000000008</v>
      </c>
      <c r="N28" s="108">
        <v>25.29</v>
      </c>
      <c r="O28" s="109" t="s">
        <v>188</v>
      </c>
      <c r="P28" s="110">
        <v>8.343</v>
      </c>
      <c r="Q28" s="108">
        <v>19.809999999999999</v>
      </c>
      <c r="R28" s="109" t="s">
        <v>188</v>
      </c>
      <c r="S28" s="110">
        <v>10.858000000000001</v>
      </c>
      <c r="T28" s="108">
        <v>16.75</v>
      </c>
      <c r="U28" s="109" t="s">
        <v>188</v>
      </c>
      <c r="V28" s="110">
        <v>8.4450000000000003</v>
      </c>
      <c r="W28" s="108">
        <v>14.13</v>
      </c>
      <c r="X28" s="109" t="s">
        <v>188</v>
      </c>
      <c r="Y28" s="110">
        <v>4.3490000000000002</v>
      </c>
      <c r="Z28" s="108">
        <v>14.67</v>
      </c>
      <c r="AA28" s="109" t="s">
        <v>188</v>
      </c>
      <c r="AB28" s="110">
        <v>4.806</v>
      </c>
      <c r="AC28" s="108">
        <v>6.63</v>
      </c>
      <c r="AD28" s="109" t="s">
        <v>188</v>
      </c>
      <c r="AE28" s="110">
        <v>2.2770000000000001</v>
      </c>
      <c r="AF28" s="113">
        <v>6.79</v>
      </c>
      <c r="AG28" s="109" t="s">
        <v>188</v>
      </c>
      <c r="AH28" s="110">
        <v>2.2650000000000001</v>
      </c>
      <c r="AI28" s="108">
        <v>10.81</v>
      </c>
      <c r="AJ28" s="109" t="s">
        <v>188</v>
      </c>
      <c r="AK28" s="110">
        <v>1.276</v>
      </c>
      <c r="AL28" s="108">
        <v>10.25</v>
      </c>
      <c r="AM28" s="109" t="s">
        <v>188</v>
      </c>
      <c r="AN28" s="110">
        <v>1.8240000000000001</v>
      </c>
      <c r="AO28" s="115"/>
      <c r="AQ28" s="232" t="s">
        <v>2</v>
      </c>
      <c r="AR28" s="240" t="s">
        <v>189</v>
      </c>
      <c r="AS28" s="237" t="s">
        <v>188</v>
      </c>
      <c r="AT28" s="240" t="s">
        <v>189</v>
      </c>
      <c r="AU28" s="240"/>
      <c r="AV28" s="238">
        <v>39.950000000000003</v>
      </c>
      <c r="AW28" s="237" t="s">
        <v>188</v>
      </c>
      <c r="AX28" s="238">
        <v>10.389645655271659</v>
      </c>
    </row>
    <row r="29" spans="1:73">
      <c r="A29" s="51" t="s">
        <v>402</v>
      </c>
      <c r="B29" s="150">
        <v>11</v>
      </c>
      <c r="C29" s="64">
        <f>B29/42</f>
        <v>0.26190476190476192</v>
      </c>
      <c r="D29" s="150">
        <v>9</v>
      </c>
      <c r="E29" s="64">
        <f>D29/46</f>
        <v>0.19565217391304349</v>
      </c>
      <c r="F29" s="95">
        <f>SUM(B29+D29)</f>
        <v>20</v>
      </c>
      <c r="G29" s="127">
        <f t="shared" ref="G29" si="6">F29/88</f>
        <v>0.22727272727272727</v>
      </c>
      <c r="H29" s="64"/>
      <c r="J29" s="106" t="s">
        <v>2</v>
      </c>
      <c r="K29" s="108">
        <v>0</v>
      </c>
      <c r="L29" s="109" t="s">
        <v>188</v>
      </c>
      <c r="M29" s="117" t="s">
        <v>189</v>
      </c>
      <c r="N29" s="108">
        <v>23.5</v>
      </c>
      <c r="O29" s="109" t="s">
        <v>188</v>
      </c>
      <c r="P29" s="110">
        <v>10.39</v>
      </c>
      <c r="Q29" s="108">
        <v>0</v>
      </c>
      <c r="R29" s="109" t="s">
        <v>188</v>
      </c>
      <c r="S29" s="117" t="s">
        <v>189</v>
      </c>
      <c r="T29" s="108">
        <v>12.25</v>
      </c>
      <c r="U29" s="109" t="s">
        <v>188</v>
      </c>
      <c r="V29" s="110">
        <v>6.5919999999999996</v>
      </c>
      <c r="W29" s="108">
        <v>0</v>
      </c>
      <c r="X29" s="109" t="s">
        <v>188</v>
      </c>
      <c r="Y29" s="117" t="s">
        <v>189</v>
      </c>
      <c r="Z29" s="108">
        <v>14.85</v>
      </c>
      <c r="AA29" s="109" t="s">
        <v>188</v>
      </c>
      <c r="AB29" s="110">
        <v>4.5339999999999998</v>
      </c>
      <c r="AC29" s="108">
        <v>0</v>
      </c>
      <c r="AD29" s="109" t="s">
        <v>188</v>
      </c>
      <c r="AE29" s="117" t="s">
        <v>189</v>
      </c>
      <c r="AF29" s="113">
        <v>7</v>
      </c>
      <c r="AG29" s="109" t="s">
        <v>188</v>
      </c>
      <c r="AH29" s="110">
        <v>2.5750000000000002</v>
      </c>
      <c r="AI29" s="108">
        <v>0</v>
      </c>
      <c r="AJ29" s="109" t="s">
        <v>188</v>
      </c>
      <c r="AK29" s="115" t="s">
        <v>189</v>
      </c>
      <c r="AL29" s="108">
        <v>11</v>
      </c>
      <c r="AM29" s="109" t="s">
        <v>188</v>
      </c>
      <c r="AN29" s="110">
        <v>1.6220000000000001</v>
      </c>
      <c r="AO29" s="115"/>
      <c r="AQ29" s="232" t="s">
        <v>3</v>
      </c>
      <c r="AR29" s="238">
        <v>37.157894736842103</v>
      </c>
      <c r="AS29" s="237" t="s">
        <v>188</v>
      </c>
      <c r="AT29" s="238">
        <v>9.2271529128541587</v>
      </c>
      <c r="AU29" s="238"/>
      <c r="AV29" s="238">
        <v>40</v>
      </c>
      <c r="AW29" s="237" t="s">
        <v>188</v>
      </c>
      <c r="AX29" s="240" t="s">
        <v>189</v>
      </c>
    </row>
    <row r="30" spans="1:73">
      <c r="A30" s="255" t="s">
        <v>14</v>
      </c>
      <c r="B30" s="255"/>
      <c r="C30" s="255"/>
      <c r="D30" s="255"/>
      <c r="E30" s="255"/>
      <c r="F30" s="255"/>
      <c r="G30" s="255"/>
      <c r="H30" s="64"/>
      <c r="J30" s="106" t="s">
        <v>3</v>
      </c>
      <c r="K30" s="108">
        <v>27.16</v>
      </c>
      <c r="L30" s="109" t="s">
        <v>188</v>
      </c>
      <c r="M30" s="110">
        <v>8.3550000000000004</v>
      </c>
      <c r="N30" s="108">
        <v>28</v>
      </c>
      <c r="O30" s="109" t="s">
        <v>188</v>
      </c>
      <c r="P30" s="117" t="s">
        <v>189</v>
      </c>
      <c r="Q30" s="108">
        <v>18.47</v>
      </c>
      <c r="R30" s="109" t="s">
        <v>188</v>
      </c>
      <c r="S30" s="110">
        <v>8.6370000000000005</v>
      </c>
      <c r="T30" s="108">
        <v>20</v>
      </c>
      <c r="U30" s="109" t="s">
        <v>188</v>
      </c>
      <c r="V30" s="115" t="s">
        <v>189</v>
      </c>
      <c r="W30" s="108">
        <v>17.95</v>
      </c>
      <c r="X30" s="109" t="s">
        <v>188</v>
      </c>
      <c r="Y30" s="110">
        <v>3.6429999999999998</v>
      </c>
      <c r="Z30" s="108">
        <v>9</v>
      </c>
      <c r="AA30" s="109" t="s">
        <v>188</v>
      </c>
      <c r="AB30" s="115" t="s">
        <v>189</v>
      </c>
      <c r="AC30" s="108">
        <v>7.74</v>
      </c>
      <c r="AD30" s="109" t="s">
        <v>188</v>
      </c>
      <c r="AE30" s="110">
        <v>2.2570000000000001</v>
      </c>
      <c r="AF30" s="113">
        <v>9</v>
      </c>
      <c r="AG30" s="109" t="s">
        <v>188</v>
      </c>
      <c r="AH30" s="115" t="s">
        <v>189</v>
      </c>
      <c r="AI30" s="108">
        <v>10.84</v>
      </c>
      <c r="AJ30" s="109" t="s">
        <v>188</v>
      </c>
      <c r="AK30" s="110">
        <v>1.214</v>
      </c>
      <c r="AL30" s="108">
        <v>12</v>
      </c>
      <c r="AM30" s="109" t="s">
        <v>188</v>
      </c>
      <c r="AN30" s="115" t="s">
        <v>189</v>
      </c>
      <c r="AO30" s="115"/>
      <c r="AP30" s="25"/>
      <c r="AQ30" s="232" t="s">
        <v>165</v>
      </c>
      <c r="AR30" s="238">
        <v>41.285714285714285</v>
      </c>
      <c r="AS30" s="237" t="s">
        <v>188</v>
      </c>
      <c r="AT30" s="238">
        <v>8.9202818661423802</v>
      </c>
      <c r="AU30" s="238"/>
      <c r="AV30" s="238">
        <v>57</v>
      </c>
      <c r="AW30" s="237" t="s">
        <v>188</v>
      </c>
      <c r="AX30" s="240" t="s">
        <v>189</v>
      </c>
      <c r="AY30" s="25"/>
    </row>
    <row r="31" spans="1:73" ht="15" customHeight="1">
      <c r="A31" s="51" t="s">
        <v>403</v>
      </c>
      <c r="B31" s="150">
        <v>9</v>
      </c>
      <c r="C31" s="64">
        <f>B31/42</f>
        <v>0.21428571428571427</v>
      </c>
      <c r="D31" s="130">
        <v>13</v>
      </c>
      <c r="E31" s="64">
        <f>D31/46</f>
        <v>0.28260869565217389</v>
      </c>
      <c r="F31" s="95">
        <f>SUM(B31+D31)</f>
        <v>22</v>
      </c>
      <c r="G31" s="127">
        <f>F31/88</f>
        <v>0.25</v>
      </c>
      <c r="H31" s="64"/>
      <c r="J31" s="106" t="s">
        <v>165</v>
      </c>
      <c r="K31" s="108">
        <v>30.57</v>
      </c>
      <c r="L31" s="109" t="s">
        <v>188</v>
      </c>
      <c r="M31" s="110">
        <v>4.1580000000000004</v>
      </c>
      <c r="N31" s="108">
        <v>36</v>
      </c>
      <c r="O31" s="109" t="s">
        <v>188</v>
      </c>
      <c r="P31" s="117" t="s">
        <v>189</v>
      </c>
      <c r="Q31" s="108">
        <v>21.86</v>
      </c>
      <c r="R31" s="109" t="s">
        <v>188</v>
      </c>
      <c r="S31" s="110">
        <v>5.3360000000000003</v>
      </c>
      <c r="T31" s="108">
        <v>26</v>
      </c>
      <c r="U31" s="109" t="s">
        <v>188</v>
      </c>
      <c r="V31" s="115" t="s">
        <v>189</v>
      </c>
      <c r="W31" s="108">
        <v>16</v>
      </c>
      <c r="X31" s="109" t="s">
        <v>188</v>
      </c>
      <c r="Y31" s="110">
        <v>6.7329999999999997</v>
      </c>
      <c r="Z31" s="108">
        <v>11</v>
      </c>
      <c r="AA31" s="109" t="s">
        <v>188</v>
      </c>
      <c r="AB31" s="115" t="s">
        <v>189</v>
      </c>
      <c r="AC31" s="108">
        <v>6.71</v>
      </c>
      <c r="AD31" s="109" t="s">
        <v>188</v>
      </c>
      <c r="AE31" s="110">
        <v>3.3519999999999999</v>
      </c>
      <c r="AF31" s="113">
        <v>7</v>
      </c>
      <c r="AG31" s="109" t="s">
        <v>188</v>
      </c>
      <c r="AH31" s="115" t="s">
        <v>189</v>
      </c>
      <c r="AI31" s="108">
        <v>11</v>
      </c>
      <c r="AJ31" s="109" t="s">
        <v>188</v>
      </c>
      <c r="AK31" s="110">
        <v>1.155</v>
      </c>
      <c r="AL31" s="108">
        <v>11</v>
      </c>
      <c r="AM31" s="109" t="s">
        <v>188</v>
      </c>
      <c r="AN31" s="115" t="s">
        <v>189</v>
      </c>
      <c r="AO31" s="153"/>
      <c r="AP31" s="86"/>
      <c r="AQ31" s="270" t="s">
        <v>14</v>
      </c>
      <c r="AR31" s="270"/>
      <c r="AS31" s="270"/>
      <c r="AT31" s="270"/>
      <c r="AU31" s="270"/>
      <c r="AV31" s="270"/>
      <c r="AW31" s="270"/>
      <c r="AX31" s="270"/>
      <c r="AY31" s="167"/>
    </row>
    <row r="32" spans="1:73" ht="15" customHeight="1">
      <c r="A32" s="51" t="s">
        <v>404</v>
      </c>
      <c r="B32" s="150">
        <v>33</v>
      </c>
      <c r="C32" s="64">
        <f>B32/42</f>
        <v>0.7857142857142857</v>
      </c>
      <c r="D32" s="130">
        <v>33</v>
      </c>
      <c r="E32" s="64">
        <f>D32/46</f>
        <v>0.71739130434782605</v>
      </c>
      <c r="F32" s="95">
        <f>SUM(B32+D32)</f>
        <v>66</v>
      </c>
      <c r="G32" s="127">
        <f t="shared" ref="G32" si="7">F32/88</f>
        <v>0.75</v>
      </c>
      <c r="H32" s="64"/>
      <c r="J32" s="153" t="s">
        <v>14</v>
      </c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65"/>
      <c r="AP32" s="85"/>
      <c r="AQ32" s="234"/>
      <c r="AR32" s="269" t="s">
        <v>590</v>
      </c>
      <c r="AS32" s="269"/>
      <c r="AT32" s="269"/>
      <c r="AU32" s="256"/>
      <c r="AV32" s="269" t="s">
        <v>589</v>
      </c>
      <c r="AW32" s="269"/>
      <c r="AX32" s="269"/>
      <c r="AY32" s="150"/>
    </row>
    <row r="33" spans="1:50" ht="15" customHeight="1">
      <c r="A33" s="255" t="s">
        <v>71</v>
      </c>
      <c r="B33" s="255"/>
      <c r="C33" s="255"/>
      <c r="D33" s="255"/>
      <c r="E33" s="255"/>
      <c r="F33" s="255"/>
      <c r="G33" s="255"/>
      <c r="H33" s="64"/>
      <c r="J33" s="106" t="s">
        <v>191</v>
      </c>
      <c r="K33" s="268" t="s">
        <v>226</v>
      </c>
      <c r="L33" s="268"/>
      <c r="M33" s="268"/>
      <c r="N33" s="268" t="s">
        <v>575</v>
      </c>
      <c r="O33" s="268"/>
      <c r="P33" s="268"/>
      <c r="Q33" s="268" t="s">
        <v>577</v>
      </c>
      <c r="R33" s="268"/>
      <c r="S33" s="268"/>
      <c r="T33" s="268" t="s">
        <v>576</v>
      </c>
      <c r="U33" s="268"/>
      <c r="V33" s="268"/>
      <c r="W33" s="268" t="s">
        <v>578</v>
      </c>
      <c r="X33" s="268"/>
      <c r="Y33" s="268"/>
      <c r="Z33" s="268" t="s">
        <v>579</v>
      </c>
      <c r="AA33" s="268"/>
      <c r="AB33" s="268"/>
      <c r="AC33" s="268" t="s">
        <v>580</v>
      </c>
      <c r="AD33" s="268"/>
      <c r="AE33" s="268"/>
      <c r="AF33" s="268" t="s">
        <v>581</v>
      </c>
      <c r="AG33" s="268"/>
      <c r="AH33" s="268"/>
      <c r="AI33" s="268" t="s">
        <v>583</v>
      </c>
      <c r="AJ33" s="268"/>
      <c r="AK33" s="268"/>
      <c r="AL33" s="268" t="s">
        <v>582</v>
      </c>
      <c r="AM33" s="268"/>
      <c r="AN33" s="268"/>
      <c r="AO33" s="110"/>
      <c r="AQ33" s="232" t="s">
        <v>574</v>
      </c>
      <c r="AR33" s="238">
        <v>40.11</v>
      </c>
      <c r="AS33" s="237" t="s">
        <v>188</v>
      </c>
      <c r="AT33" s="238">
        <v>8.6999999999999993</v>
      </c>
      <c r="AU33" s="238"/>
      <c r="AV33" s="238">
        <v>39.15</v>
      </c>
      <c r="AW33" s="237" t="s">
        <v>188</v>
      </c>
      <c r="AX33" s="238">
        <v>12.11</v>
      </c>
    </row>
    <row r="34" spans="1:50">
      <c r="A34" s="51" t="s">
        <v>132</v>
      </c>
      <c r="B34" s="130">
        <v>38</v>
      </c>
      <c r="C34" s="64">
        <f>B34/42</f>
        <v>0.90476190476190477</v>
      </c>
      <c r="D34" s="130">
        <v>44</v>
      </c>
      <c r="E34" s="64">
        <f>D34/46</f>
        <v>0.95652173913043481</v>
      </c>
      <c r="F34" s="95">
        <f>SUM(B34+D34)</f>
        <v>82</v>
      </c>
      <c r="G34" s="127">
        <f>F34/88</f>
        <v>0.93181818181818177</v>
      </c>
      <c r="H34" s="64"/>
      <c r="J34" s="106" t="s">
        <v>403</v>
      </c>
      <c r="K34" s="108">
        <v>27</v>
      </c>
      <c r="L34" s="109" t="s">
        <v>188</v>
      </c>
      <c r="M34" s="110">
        <v>5.3</v>
      </c>
      <c r="N34" s="108">
        <v>24.23</v>
      </c>
      <c r="O34" s="109" t="s">
        <v>188</v>
      </c>
      <c r="P34" s="110">
        <v>9.6</v>
      </c>
      <c r="Q34" s="108">
        <v>19.559999999999999</v>
      </c>
      <c r="R34" s="109" t="s">
        <v>188</v>
      </c>
      <c r="S34" s="110">
        <v>7.7</v>
      </c>
      <c r="T34" s="108">
        <v>15.77</v>
      </c>
      <c r="U34" s="109" t="s">
        <v>188</v>
      </c>
      <c r="V34" s="110">
        <v>8.8000000000000007</v>
      </c>
      <c r="W34" s="108">
        <v>16.22</v>
      </c>
      <c r="X34" s="109" t="s">
        <v>188</v>
      </c>
      <c r="Y34" s="110">
        <v>5.6</v>
      </c>
      <c r="Z34" s="108">
        <v>12.92</v>
      </c>
      <c r="AA34" s="109" t="s">
        <v>188</v>
      </c>
      <c r="AB34" s="110">
        <v>3.2</v>
      </c>
      <c r="AC34" s="113">
        <v>7.11</v>
      </c>
      <c r="AD34" s="109" t="s">
        <v>188</v>
      </c>
      <c r="AE34" s="110">
        <v>2.5</v>
      </c>
      <c r="AF34" s="113">
        <v>6.15</v>
      </c>
      <c r="AG34" s="109" t="s">
        <v>188</v>
      </c>
      <c r="AH34" s="110">
        <v>1.7490000000000001</v>
      </c>
      <c r="AI34" s="108">
        <v>10.89</v>
      </c>
      <c r="AJ34" s="109" t="s">
        <v>188</v>
      </c>
      <c r="AK34" s="110">
        <v>1.488</v>
      </c>
      <c r="AL34" s="108">
        <v>10.23</v>
      </c>
      <c r="AM34" s="109" t="s">
        <v>188</v>
      </c>
      <c r="AN34" s="110">
        <v>2.2000000000000002</v>
      </c>
      <c r="AO34" s="110"/>
      <c r="AQ34" s="232" t="s">
        <v>571</v>
      </c>
      <c r="AR34" s="238">
        <v>37.79</v>
      </c>
      <c r="AS34" s="237" t="s">
        <v>188</v>
      </c>
      <c r="AT34" s="238">
        <v>9.0500000000000007</v>
      </c>
      <c r="AU34" s="238"/>
      <c r="AV34" s="238">
        <v>38.85</v>
      </c>
      <c r="AW34" s="237" t="s">
        <v>188</v>
      </c>
      <c r="AX34" s="238">
        <v>10.44</v>
      </c>
    </row>
    <row r="35" spans="1:50" ht="24" customHeight="1">
      <c r="A35" s="51" t="s">
        <v>405</v>
      </c>
      <c r="B35" s="130">
        <v>4</v>
      </c>
      <c r="C35" s="64">
        <f>B35/42</f>
        <v>9.5238095238095233E-2</v>
      </c>
      <c r="D35" s="130">
        <v>2</v>
      </c>
      <c r="E35" s="64">
        <f>D35/46</f>
        <v>4.3478260869565216E-2</v>
      </c>
      <c r="F35" s="95">
        <f>SUM(B35+D35)</f>
        <v>6</v>
      </c>
      <c r="G35" s="127">
        <f>F35/88</f>
        <v>6.8181818181818177E-2</v>
      </c>
      <c r="H35" s="64"/>
      <c r="J35" s="106" t="s">
        <v>571</v>
      </c>
      <c r="K35" s="108">
        <v>28.48</v>
      </c>
      <c r="L35" s="109" t="s">
        <v>188</v>
      </c>
      <c r="M35" s="110">
        <v>8.1999999999999993</v>
      </c>
      <c r="N35" s="108">
        <v>25.03</v>
      </c>
      <c r="O35" s="109" t="s">
        <v>188</v>
      </c>
      <c r="P35" s="110">
        <v>9.1999999999999993</v>
      </c>
      <c r="Q35" s="108">
        <v>19.55</v>
      </c>
      <c r="R35" s="109" t="s">
        <v>188</v>
      </c>
      <c r="S35" s="110">
        <v>9.5</v>
      </c>
      <c r="T35" s="108">
        <v>14.79</v>
      </c>
      <c r="U35" s="109" t="s">
        <v>188</v>
      </c>
      <c r="V35" s="110">
        <v>7.7</v>
      </c>
      <c r="W35" s="108">
        <v>16.149999999999999</v>
      </c>
      <c r="X35" s="109" t="s">
        <v>188</v>
      </c>
      <c r="Y35" s="110">
        <v>4.633</v>
      </c>
      <c r="Z35" s="108">
        <v>15.18</v>
      </c>
      <c r="AA35" s="109" t="s">
        <v>188</v>
      </c>
      <c r="AB35" s="110">
        <v>5.03</v>
      </c>
      <c r="AC35" s="113">
        <v>7.15</v>
      </c>
      <c r="AD35" s="109" t="s">
        <v>188</v>
      </c>
      <c r="AE35" s="110">
        <v>2.52</v>
      </c>
      <c r="AF35" s="113">
        <v>7.24</v>
      </c>
      <c r="AG35" s="109" t="s">
        <v>188</v>
      </c>
      <c r="AH35" s="110">
        <v>2.5459999999999998</v>
      </c>
      <c r="AI35" s="108">
        <v>10.85</v>
      </c>
      <c r="AJ35" s="109" t="s">
        <v>188</v>
      </c>
      <c r="AK35" s="110">
        <v>1.2</v>
      </c>
      <c r="AL35" s="108">
        <v>10.79</v>
      </c>
      <c r="AM35" s="109" t="s">
        <v>188</v>
      </c>
      <c r="AN35" s="110">
        <v>1.5449999999999999</v>
      </c>
      <c r="AO35" s="115"/>
      <c r="AQ35" s="270" t="s">
        <v>52</v>
      </c>
      <c r="AR35" s="270"/>
      <c r="AS35" s="270"/>
      <c r="AT35" s="270"/>
      <c r="AU35" s="270"/>
      <c r="AV35" s="270"/>
      <c r="AW35" s="270"/>
      <c r="AX35" s="270"/>
    </row>
    <row r="36" spans="1:50" ht="24" customHeight="1">
      <c r="A36" s="255" t="s">
        <v>133</v>
      </c>
      <c r="B36" s="255"/>
      <c r="C36" s="255"/>
      <c r="D36" s="255"/>
      <c r="E36" s="255"/>
      <c r="F36" s="255"/>
      <c r="G36" s="255"/>
      <c r="H36" s="64"/>
      <c r="J36" s="153" t="s">
        <v>52</v>
      </c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15"/>
      <c r="AQ36" s="234"/>
      <c r="AR36" s="287" t="s">
        <v>588</v>
      </c>
      <c r="AS36" s="287"/>
      <c r="AT36" s="287"/>
      <c r="AU36" s="260"/>
      <c r="AV36" s="287" t="s">
        <v>350</v>
      </c>
      <c r="AW36" s="287"/>
      <c r="AX36" s="287"/>
    </row>
    <row r="37" spans="1:50" ht="24" customHeight="1">
      <c r="A37" s="52" t="s">
        <v>135</v>
      </c>
      <c r="B37" s="130">
        <v>27</v>
      </c>
      <c r="C37" s="64">
        <f>B37/42</f>
        <v>0.6428571428571429</v>
      </c>
      <c r="D37" s="53">
        <v>21</v>
      </c>
      <c r="E37" s="64">
        <f>D37/46</f>
        <v>0.45652173913043476</v>
      </c>
      <c r="F37" s="95">
        <f>SUM(B37+D37)</f>
        <v>48</v>
      </c>
      <c r="G37" s="127">
        <f>F37/88</f>
        <v>0.54545454545454541</v>
      </c>
      <c r="H37" s="64"/>
      <c r="J37" s="106" t="s">
        <v>191</v>
      </c>
      <c r="K37" s="268" t="s">
        <v>584</v>
      </c>
      <c r="L37" s="268"/>
      <c r="M37" s="268"/>
      <c r="N37" s="268" t="s">
        <v>238</v>
      </c>
      <c r="O37" s="268"/>
      <c r="P37" s="268"/>
      <c r="Q37" s="268" t="s">
        <v>585</v>
      </c>
      <c r="R37" s="268"/>
      <c r="S37" s="268"/>
      <c r="T37" s="268" t="s">
        <v>239</v>
      </c>
      <c r="U37" s="268"/>
      <c r="V37" s="268"/>
      <c r="W37" s="268" t="s">
        <v>262</v>
      </c>
      <c r="X37" s="268"/>
      <c r="Y37" s="268"/>
      <c r="Z37" s="268" t="s">
        <v>263</v>
      </c>
      <c r="AA37" s="268"/>
      <c r="AB37" s="268"/>
      <c r="AC37" s="268" t="s">
        <v>586</v>
      </c>
      <c r="AD37" s="268"/>
      <c r="AE37" s="268"/>
      <c r="AF37" s="268" t="s">
        <v>264</v>
      </c>
      <c r="AG37" s="268"/>
      <c r="AH37" s="268"/>
      <c r="AI37" s="268" t="s">
        <v>587</v>
      </c>
      <c r="AJ37" s="268"/>
      <c r="AK37" s="268"/>
      <c r="AL37" s="268" t="s">
        <v>265</v>
      </c>
      <c r="AM37" s="268"/>
      <c r="AN37" s="268"/>
      <c r="AO37" s="153"/>
      <c r="AQ37" s="104" t="s">
        <v>572</v>
      </c>
      <c r="AR37" s="238">
        <v>37.193548387096776</v>
      </c>
      <c r="AS37" s="237" t="s">
        <v>188</v>
      </c>
      <c r="AT37" s="238">
        <v>9.3002485803291286</v>
      </c>
      <c r="AU37" s="238"/>
      <c r="AV37" s="238">
        <v>37.972972972972975</v>
      </c>
      <c r="AW37" s="237" t="s">
        <v>188</v>
      </c>
      <c r="AX37" s="238">
        <v>11.422410930774268</v>
      </c>
    </row>
    <row r="38" spans="1:50" ht="21" customHeight="1">
      <c r="A38" s="52" t="s">
        <v>134</v>
      </c>
      <c r="B38" s="130">
        <v>15</v>
      </c>
      <c r="C38" s="64">
        <f>B38/42</f>
        <v>0.35714285714285715</v>
      </c>
      <c r="D38" s="53">
        <v>25</v>
      </c>
      <c r="E38" s="64">
        <f>D38/46</f>
        <v>0.54347826086956519</v>
      </c>
      <c r="F38" s="95">
        <f>SUM(B38+D38)</f>
        <v>40</v>
      </c>
      <c r="G38" s="127">
        <f>F38/88</f>
        <v>0.45454545454545453</v>
      </c>
      <c r="H38" s="64"/>
      <c r="J38" s="103" t="s">
        <v>572</v>
      </c>
      <c r="K38" s="108">
        <v>28.06</v>
      </c>
      <c r="L38" s="109" t="s">
        <v>188</v>
      </c>
      <c r="M38" s="110">
        <v>7.8</v>
      </c>
      <c r="N38" s="108">
        <v>25.73</v>
      </c>
      <c r="O38" s="109" t="s">
        <v>188</v>
      </c>
      <c r="P38" s="110">
        <v>9.5</v>
      </c>
      <c r="Q38" s="108">
        <v>19.16</v>
      </c>
      <c r="R38" s="109" t="s">
        <v>188</v>
      </c>
      <c r="S38" s="110">
        <v>9</v>
      </c>
      <c r="T38" s="108">
        <v>15.49</v>
      </c>
      <c r="U38" s="109" t="s">
        <v>188</v>
      </c>
      <c r="V38" s="110">
        <v>8.6</v>
      </c>
      <c r="W38" s="108">
        <v>15.61</v>
      </c>
      <c r="X38" s="109" t="s">
        <v>188</v>
      </c>
      <c r="Y38" s="110">
        <v>4.5359999999999996</v>
      </c>
      <c r="Z38" s="108">
        <v>14.97</v>
      </c>
      <c r="AA38" s="109" t="s">
        <v>188</v>
      </c>
      <c r="AB38" s="110">
        <v>4.5369999999999999</v>
      </c>
      <c r="AC38" s="113">
        <v>7</v>
      </c>
      <c r="AD38" s="109" t="s">
        <v>188</v>
      </c>
      <c r="AE38" s="110">
        <v>2.2509999999999999</v>
      </c>
      <c r="AF38" s="113">
        <v>7.05</v>
      </c>
      <c r="AG38" s="109" t="s">
        <v>188</v>
      </c>
      <c r="AH38" s="110">
        <v>2.1720000000000002</v>
      </c>
      <c r="AI38" s="108">
        <v>10.77</v>
      </c>
      <c r="AJ38" s="109" t="s">
        <v>188</v>
      </c>
      <c r="AK38" s="110">
        <v>1.23</v>
      </c>
      <c r="AL38" s="108">
        <v>10.68</v>
      </c>
      <c r="AM38" s="109" t="s">
        <v>188</v>
      </c>
      <c r="AN38" s="110">
        <v>1.492</v>
      </c>
      <c r="AO38" s="165"/>
      <c r="AQ38" s="119" t="s">
        <v>573</v>
      </c>
      <c r="AR38" s="241">
        <v>41.36</v>
      </c>
      <c r="AS38" s="243" t="s">
        <v>188</v>
      </c>
      <c r="AT38" s="241">
        <v>7.3</v>
      </c>
      <c r="AU38" s="241"/>
      <c r="AV38" s="242">
        <v>42.89</v>
      </c>
      <c r="AW38" s="243" t="s">
        <v>188</v>
      </c>
      <c r="AX38" s="242">
        <v>6.9</v>
      </c>
    </row>
    <row r="39" spans="1:50" ht="22.5" customHeight="1">
      <c r="A39" s="255" t="s">
        <v>136</v>
      </c>
      <c r="B39" s="255"/>
      <c r="C39" s="255"/>
      <c r="D39" s="255"/>
      <c r="E39" s="255"/>
      <c r="F39" s="255"/>
      <c r="G39" s="255"/>
      <c r="H39" s="64"/>
      <c r="J39" s="119" t="s">
        <v>573</v>
      </c>
      <c r="K39" s="123">
        <v>28.45</v>
      </c>
      <c r="L39" s="121" t="s">
        <v>188</v>
      </c>
      <c r="M39" s="124">
        <v>7.5</v>
      </c>
      <c r="N39" s="120">
        <v>21</v>
      </c>
      <c r="O39" s="121" t="s">
        <v>188</v>
      </c>
      <c r="P39" s="122">
        <v>7.1</v>
      </c>
      <c r="Q39" s="120">
        <v>20.64</v>
      </c>
      <c r="R39" s="121" t="s">
        <v>188</v>
      </c>
      <c r="S39" s="122">
        <v>9.3000000000000007</v>
      </c>
      <c r="T39" s="123">
        <v>13.33</v>
      </c>
      <c r="U39" s="121" t="s">
        <v>188</v>
      </c>
      <c r="V39" s="125">
        <v>4</v>
      </c>
      <c r="W39" s="120">
        <v>17.63</v>
      </c>
      <c r="X39" s="121" t="s">
        <v>188</v>
      </c>
      <c r="Y39" s="122">
        <v>5.2</v>
      </c>
      <c r="Z39" s="120">
        <v>12.78</v>
      </c>
      <c r="AA39" s="121" t="s">
        <v>188</v>
      </c>
      <c r="AB39" s="125">
        <v>4.9000000000000004</v>
      </c>
      <c r="AC39" s="126">
        <v>7.55</v>
      </c>
      <c r="AD39" s="121" t="s">
        <v>188</v>
      </c>
      <c r="AE39" s="122">
        <v>3.1</v>
      </c>
      <c r="AF39" s="126">
        <v>6.44</v>
      </c>
      <c r="AG39" s="121" t="s">
        <v>188</v>
      </c>
      <c r="AH39" s="125">
        <v>3.1</v>
      </c>
      <c r="AI39" s="120">
        <v>11.09</v>
      </c>
      <c r="AJ39" s="121" t="s">
        <v>188</v>
      </c>
      <c r="AK39" s="122">
        <v>1.1000000000000001</v>
      </c>
      <c r="AL39" s="120">
        <v>10.44</v>
      </c>
      <c r="AM39" s="121" t="s">
        <v>188</v>
      </c>
      <c r="AN39" s="125">
        <v>2.6</v>
      </c>
      <c r="AO39" s="110"/>
    </row>
    <row r="40" spans="1:50">
      <c r="A40" s="52" t="s">
        <v>135</v>
      </c>
      <c r="B40" s="130">
        <v>36</v>
      </c>
      <c r="C40" s="64">
        <f>B40/42</f>
        <v>0.8571428571428571</v>
      </c>
      <c r="D40" s="53">
        <v>43</v>
      </c>
      <c r="E40" s="64">
        <f>D40/46</f>
        <v>0.93478260869565222</v>
      </c>
      <c r="F40" s="95">
        <f>SUM(B40+D40)</f>
        <v>79</v>
      </c>
      <c r="G40" s="127">
        <f>F40/88</f>
        <v>0.89772727272727271</v>
      </c>
      <c r="H40" s="64"/>
      <c r="AO40" s="110"/>
    </row>
    <row r="41" spans="1:50">
      <c r="A41" s="52" t="s">
        <v>134</v>
      </c>
      <c r="B41" s="130">
        <v>6</v>
      </c>
      <c r="C41" s="64">
        <f>B41/42</f>
        <v>0.14285714285714285</v>
      </c>
      <c r="D41" s="53">
        <v>3</v>
      </c>
      <c r="E41" s="64">
        <f>D41/46</f>
        <v>6.5217391304347824E-2</v>
      </c>
      <c r="F41" s="95">
        <f>SUM(B41+D41)</f>
        <v>9</v>
      </c>
      <c r="G41" s="127">
        <f>F41/88</f>
        <v>0.10227272727272728</v>
      </c>
      <c r="H41" s="64"/>
      <c r="AO41" s="115"/>
    </row>
    <row r="42" spans="1:50" ht="15" customHeight="1">
      <c r="A42" s="255" t="s">
        <v>53</v>
      </c>
      <c r="B42" s="255"/>
      <c r="C42" s="255"/>
      <c r="D42" s="255"/>
      <c r="E42" s="255"/>
      <c r="F42" s="255"/>
      <c r="G42" s="255"/>
      <c r="H42" s="64"/>
      <c r="AO42" s="115"/>
    </row>
    <row r="43" spans="1:50">
      <c r="A43" s="51" t="s">
        <v>54</v>
      </c>
      <c r="B43" s="95">
        <v>0</v>
      </c>
      <c r="C43" s="64">
        <f>B43/42</f>
        <v>0</v>
      </c>
      <c r="D43" s="95">
        <v>0</v>
      </c>
      <c r="E43" s="64">
        <f>D43/46</f>
        <v>0</v>
      </c>
      <c r="F43" s="95">
        <f>SUM(B43+D43)</f>
        <v>0</v>
      </c>
      <c r="G43" s="127">
        <f>F43/88</f>
        <v>0</v>
      </c>
      <c r="H43" s="64"/>
      <c r="AO43" s="153"/>
    </row>
    <row r="44" spans="1:50">
      <c r="A44" s="51" t="s">
        <v>55</v>
      </c>
      <c r="B44" s="65">
        <v>19</v>
      </c>
      <c r="C44" s="64">
        <f>B44/42</f>
        <v>0.45238095238095238</v>
      </c>
      <c r="D44" s="65">
        <v>29</v>
      </c>
      <c r="E44" s="64">
        <f>D44/46</f>
        <v>0.63043478260869568</v>
      </c>
      <c r="F44" s="59">
        <f>SUM(B44+D44)</f>
        <v>48</v>
      </c>
      <c r="G44" s="127">
        <f>F44/88</f>
        <v>0.54545454545454541</v>
      </c>
      <c r="H44" s="64"/>
      <c r="AO44" s="165"/>
    </row>
    <row r="45" spans="1:50">
      <c r="A45" s="51" t="s">
        <v>56</v>
      </c>
      <c r="B45" s="95">
        <v>22</v>
      </c>
      <c r="C45" s="64">
        <f>B45/42</f>
        <v>0.52380952380952384</v>
      </c>
      <c r="D45" s="95">
        <v>16</v>
      </c>
      <c r="E45" s="64">
        <f>D45/46</f>
        <v>0.34782608695652173</v>
      </c>
      <c r="F45" s="95">
        <f>SUM(B45+D45)</f>
        <v>38</v>
      </c>
      <c r="G45" s="127">
        <f>F45/88</f>
        <v>0.43181818181818182</v>
      </c>
      <c r="H45" s="64"/>
      <c r="AO45" s="110"/>
    </row>
    <row r="46" spans="1:50" ht="24" customHeight="1">
      <c r="A46" s="67" t="s">
        <v>57</v>
      </c>
      <c r="B46" s="68">
        <v>1</v>
      </c>
      <c r="C46" s="69">
        <f>B46/42</f>
        <v>2.3809523809523808E-2</v>
      </c>
      <c r="D46" s="68">
        <v>1</v>
      </c>
      <c r="E46" s="69">
        <f>D46/46</f>
        <v>2.1739130434782608E-2</v>
      </c>
      <c r="F46" s="68">
        <f>SUM(B46+D46)</f>
        <v>2</v>
      </c>
      <c r="G46" s="128">
        <f>F46/88</f>
        <v>2.2727272727272728E-2</v>
      </c>
      <c r="H46" s="64"/>
      <c r="AO46" s="110"/>
    </row>
    <row r="47" spans="1:50">
      <c r="H47" s="64"/>
      <c r="AO47" s="250"/>
    </row>
    <row r="48" spans="1:50">
      <c r="H48" s="64"/>
      <c r="J48" s="21"/>
      <c r="K48" s="99"/>
      <c r="L48" s="100"/>
      <c r="M48" s="98"/>
      <c r="N48" s="99"/>
      <c r="O48" s="100"/>
      <c r="P48" s="98"/>
      <c r="Q48" s="96"/>
      <c r="R48" s="100"/>
      <c r="S48" s="97"/>
      <c r="T48" s="99"/>
      <c r="U48" s="100"/>
      <c r="V48" s="97"/>
      <c r="W48" s="96"/>
      <c r="X48" s="100"/>
      <c r="Y48" s="97"/>
      <c r="Z48" s="96"/>
      <c r="AA48" s="100"/>
      <c r="AB48" s="97"/>
      <c r="AD48" s="100"/>
      <c r="AE48" s="97"/>
      <c r="AG48" s="100"/>
      <c r="AH48" s="97"/>
      <c r="AI48" s="96"/>
      <c r="AJ48" s="100"/>
      <c r="AK48" s="97"/>
      <c r="AL48" s="96"/>
      <c r="AM48" s="100"/>
      <c r="AN48" s="97"/>
      <c r="AO48" s="97"/>
    </row>
    <row r="49" spans="1:51">
      <c r="H49" s="64"/>
    </row>
    <row r="50" spans="1:51">
      <c r="H50" s="64"/>
      <c r="J50" s="22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51">
      <c r="H51" s="64"/>
    </row>
    <row r="52" spans="1:51">
      <c r="H52" s="64"/>
      <c r="J52" s="21"/>
    </row>
    <row r="53" spans="1:51">
      <c r="H53" s="64"/>
      <c r="J53" s="21"/>
    </row>
    <row r="54" spans="1:51">
      <c r="H54" s="64"/>
      <c r="J54" s="21"/>
    </row>
    <row r="55" spans="1:51">
      <c r="H55" s="64"/>
      <c r="J55" s="21"/>
    </row>
    <row r="56" spans="1:51">
      <c r="H56" s="64"/>
      <c r="J56" s="22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167"/>
      <c r="AP56" s="86"/>
      <c r="AQ56" s="167"/>
      <c r="AR56" s="244"/>
      <c r="AS56" s="84"/>
      <c r="AT56" s="244"/>
      <c r="AU56" s="244"/>
      <c r="AV56" s="244"/>
      <c r="AW56" s="84"/>
      <c r="AX56" s="244"/>
      <c r="AY56" s="167"/>
    </row>
    <row r="57" spans="1:51">
      <c r="G57" s="66"/>
      <c r="H57" s="64"/>
      <c r="V57" s="101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88"/>
      <c r="AQ57" s="151"/>
      <c r="AR57" s="245"/>
      <c r="AS57" s="151"/>
      <c r="AT57" s="245"/>
      <c r="AU57" s="245"/>
      <c r="AV57" s="245"/>
      <c r="AW57" s="151"/>
      <c r="AX57" s="245"/>
      <c r="AY57" s="151"/>
    </row>
    <row r="58" spans="1:51">
      <c r="H58" s="64"/>
      <c r="J58" s="21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85"/>
      <c r="AQ58" s="150"/>
      <c r="AR58" s="246"/>
      <c r="AS58" s="150"/>
      <c r="AT58" s="246"/>
      <c r="AU58" s="246"/>
      <c r="AV58" s="246"/>
      <c r="AW58" s="150"/>
      <c r="AX58" s="246"/>
      <c r="AY58" s="150"/>
    </row>
    <row r="59" spans="1:51">
      <c r="G59" s="55"/>
      <c r="H59" s="64"/>
      <c r="J59" s="21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85"/>
      <c r="AQ59" s="150"/>
      <c r="AR59" s="246"/>
      <c r="AS59" s="150"/>
      <c r="AT59" s="246"/>
      <c r="AU59" s="246"/>
      <c r="AV59" s="246"/>
      <c r="AW59" s="150"/>
      <c r="AX59" s="246"/>
      <c r="AY59" s="150"/>
    </row>
    <row r="60" spans="1:51">
      <c r="G60" s="54"/>
      <c r="H60" s="64"/>
    </row>
    <row r="61" spans="1:51">
      <c r="G61" s="54"/>
      <c r="H61" s="64"/>
    </row>
    <row r="62" spans="1:51">
      <c r="G62" s="54"/>
      <c r="H62" s="64"/>
    </row>
    <row r="63" spans="1:51">
      <c r="G63" s="58"/>
      <c r="H63" s="64"/>
    </row>
    <row r="64" spans="1:51">
      <c r="A64" s="80"/>
      <c r="H64" s="66"/>
    </row>
    <row r="65" spans="1:16">
      <c r="A65" s="80"/>
      <c r="B65" s="80"/>
    </row>
    <row r="66" spans="1:16">
      <c r="A66" s="80"/>
      <c r="B66" s="80"/>
    </row>
    <row r="67" spans="1:16">
      <c r="A67" s="80"/>
      <c r="B67" s="80"/>
    </row>
    <row r="68" spans="1:16">
      <c r="A68" s="80"/>
      <c r="B68" s="80"/>
    </row>
    <row r="69" spans="1:16">
      <c r="A69" s="80"/>
    </row>
    <row r="77" spans="1:16">
      <c r="I77" s="28"/>
      <c r="J77" s="28"/>
      <c r="K77" s="101"/>
      <c r="L77" s="101"/>
      <c r="M77" s="101"/>
      <c r="N77" s="101"/>
      <c r="O77" s="101"/>
      <c r="P77" s="101"/>
    </row>
    <row r="78" spans="1:16">
      <c r="I78" s="27"/>
      <c r="J78" s="27"/>
      <c r="K78" s="30"/>
      <c r="L78" s="30"/>
      <c r="M78" s="30"/>
      <c r="N78" s="30"/>
      <c r="O78" s="30"/>
      <c r="P78" s="30"/>
    </row>
    <row r="79" spans="1:16">
      <c r="I79" s="27"/>
      <c r="J79" s="27"/>
      <c r="K79" s="30"/>
      <c r="L79" s="30"/>
      <c r="M79" s="30"/>
      <c r="N79" s="30"/>
      <c r="O79" s="30"/>
      <c r="P79" s="30"/>
    </row>
    <row r="80" spans="1:16">
      <c r="I80" s="27"/>
      <c r="J80" s="27"/>
      <c r="K80" s="30"/>
      <c r="L80" s="30"/>
      <c r="M80" s="30"/>
      <c r="N80" s="30"/>
      <c r="O80" s="30"/>
      <c r="P80" s="30"/>
    </row>
    <row r="81" spans="9:16">
      <c r="I81" s="283"/>
      <c r="J81" s="283"/>
      <c r="K81" s="283"/>
      <c r="L81" s="283"/>
      <c r="M81" s="283"/>
      <c r="N81" s="283"/>
      <c r="O81" s="93"/>
      <c r="P81" s="93"/>
    </row>
    <row r="82" spans="9:16">
      <c r="I82" s="29"/>
      <c r="J82" s="29"/>
      <c r="K82" s="102"/>
      <c r="L82" s="102"/>
      <c r="M82" s="102"/>
      <c r="N82" s="102"/>
      <c r="O82" s="102"/>
      <c r="P82" s="102"/>
    </row>
    <row r="83" spans="9:16">
      <c r="I83" s="27"/>
      <c r="J83" s="27"/>
      <c r="K83" s="30"/>
      <c r="L83" s="30"/>
      <c r="M83" s="30"/>
      <c r="N83" s="30"/>
      <c r="O83" s="30"/>
      <c r="P83" s="30"/>
    </row>
    <row r="84" spans="9:16">
      <c r="I84" s="27"/>
      <c r="J84" s="27"/>
      <c r="K84" s="30"/>
      <c r="L84" s="30"/>
      <c r="M84" s="30"/>
      <c r="N84" s="30"/>
      <c r="O84" s="30"/>
      <c r="P84" s="30"/>
    </row>
    <row r="85" spans="9:16">
      <c r="I85" s="27"/>
      <c r="J85" s="27"/>
      <c r="K85" s="30"/>
      <c r="L85" s="30"/>
      <c r="M85" s="30"/>
      <c r="N85" s="30"/>
      <c r="O85" s="30"/>
      <c r="P85" s="30"/>
    </row>
    <row r="86" spans="9:16">
      <c r="I86" s="27"/>
      <c r="J86" s="27"/>
      <c r="K86" s="30"/>
      <c r="L86" s="30"/>
      <c r="M86" s="30"/>
      <c r="N86" s="30"/>
      <c r="O86" s="30"/>
      <c r="P86" s="30"/>
    </row>
    <row r="87" spans="9:16">
      <c r="I87" s="27"/>
      <c r="J87" s="27"/>
      <c r="K87" s="30"/>
      <c r="L87" s="30"/>
      <c r="M87" s="30"/>
      <c r="N87" s="30"/>
      <c r="O87" s="30"/>
      <c r="P87" s="30"/>
    </row>
    <row r="88" spans="9:16">
      <c r="I88" s="283"/>
      <c r="J88" s="283"/>
      <c r="K88" s="283"/>
      <c r="L88" s="283"/>
      <c r="M88" s="283"/>
      <c r="N88" s="283"/>
      <c r="O88" s="93"/>
      <c r="P88" s="93"/>
    </row>
    <row r="89" spans="9:16">
      <c r="I89" s="28"/>
      <c r="J89" s="28"/>
      <c r="K89" s="101"/>
      <c r="L89" s="101"/>
      <c r="M89" s="101"/>
      <c r="N89" s="101"/>
      <c r="O89" s="101"/>
      <c r="P89" s="101"/>
    </row>
    <row r="90" spans="9:16">
      <c r="I90" s="27"/>
      <c r="J90" s="27"/>
      <c r="K90" s="30"/>
      <c r="L90" s="30"/>
      <c r="M90" s="30"/>
      <c r="N90" s="30"/>
      <c r="O90" s="30"/>
      <c r="P90" s="30"/>
    </row>
    <row r="91" spans="9:16">
      <c r="I91" s="27"/>
      <c r="J91" s="27"/>
      <c r="K91" s="30"/>
      <c r="L91" s="30"/>
      <c r="M91" s="30"/>
      <c r="N91" s="30"/>
      <c r="O91" s="30"/>
      <c r="P91" s="30"/>
    </row>
    <row r="92" spans="9:16">
      <c r="I92" s="27"/>
      <c r="J92" s="27"/>
      <c r="K92" s="30"/>
      <c r="L92" s="30"/>
      <c r="M92" s="30"/>
      <c r="N92" s="30"/>
      <c r="O92" s="30"/>
      <c r="P92" s="30"/>
    </row>
    <row r="93" spans="9:16">
      <c r="I93" s="27"/>
      <c r="J93" s="27"/>
      <c r="K93" s="30"/>
      <c r="L93" s="30"/>
      <c r="M93" s="30"/>
      <c r="N93" s="30"/>
      <c r="O93" s="30"/>
      <c r="P93" s="30"/>
    </row>
    <row r="94" spans="9:16">
      <c r="I94" s="27"/>
      <c r="J94" s="27"/>
      <c r="K94" s="30"/>
      <c r="L94" s="30"/>
      <c r="M94" s="30"/>
      <c r="N94" s="30"/>
      <c r="O94" s="30"/>
      <c r="P94" s="30"/>
    </row>
    <row r="95" spans="9:16">
      <c r="I95" s="27"/>
      <c r="J95" s="27"/>
      <c r="K95" s="30"/>
      <c r="L95" s="30"/>
      <c r="M95" s="30"/>
      <c r="N95" s="30"/>
      <c r="O95" s="30"/>
      <c r="P95" s="30"/>
    </row>
    <row r="96" spans="9:16">
      <c r="I96" s="28"/>
      <c r="J96" s="28"/>
      <c r="K96" s="101"/>
      <c r="L96" s="101"/>
      <c r="M96" s="101"/>
      <c r="N96" s="101"/>
      <c r="O96" s="101"/>
      <c r="P96" s="101"/>
    </row>
    <row r="97" spans="9:16">
      <c r="I97" s="27"/>
      <c r="J97" s="27"/>
      <c r="K97" s="30"/>
      <c r="L97" s="30"/>
      <c r="M97" s="30"/>
      <c r="N97" s="30"/>
      <c r="O97" s="30"/>
      <c r="P97" s="30"/>
    </row>
    <row r="98" spans="9:16">
      <c r="I98" s="27"/>
      <c r="J98" s="27"/>
      <c r="K98" s="30"/>
      <c r="L98" s="30"/>
      <c r="M98" s="30"/>
      <c r="N98" s="30"/>
      <c r="O98" s="30"/>
      <c r="P98" s="30"/>
    </row>
    <row r="99" spans="9:16">
      <c r="I99" s="27"/>
      <c r="J99" s="27"/>
      <c r="K99" s="30"/>
      <c r="L99" s="30"/>
      <c r="M99" s="30"/>
      <c r="N99" s="30"/>
      <c r="O99" s="30"/>
      <c r="P99" s="30"/>
    </row>
    <row r="100" spans="9:16">
      <c r="I100" s="29"/>
      <c r="J100" s="29"/>
      <c r="K100" s="102"/>
      <c r="L100" s="102"/>
      <c r="M100" s="102"/>
      <c r="N100" s="102"/>
      <c r="O100" s="102"/>
      <c r="P100" s="102"/>
    </row>
    <row r="101" spans="9:16">
      <c r="I101" s="27"/>
      <c r="J101" s="27"/>
      <c r="K101" s="30"/>
      <c r="L101" s="30"/>
      <c r="M101" s="30"/>
      <c r="N101" s="30"/>
      <c r="O101" s="30"/>
      <c r="P101" s="30"/>
    </row>
    <row r="102" spans="9:16">
      <c r="I102" s="27"/>
      <c r="J102" s="27"/>
      <c r="K102" s="30"/>
      <c r="L102" s="30"/>
      <c r="M102" s="30"/>
      <c r="N102" s="30"/>
      <c r="O102" s="30"/>
      <c r="P102" s="30"/>
    </row>
    <row r="103" spans="9:16">
      <c r="I103" s="25"/>
      <c r="J103" s="25"/>
      <c r="K103" s="61"/>
      <c r="L103" s="61"/>
      <c r="M103" s="61"/>
      <c r="N103" s="61"/>
      <c r="O103" s="61"/>
      <c r="P103" s="61"/>
    </row>
    <row r="104" spans="9:16">
      <c r="I104" s="25"/>
      <c r="J104" s="25"/>
      <c r="K104" s="61"/>
      <c r="L104" s="61"/>
      <c r="M104" s="61"/>
      <c r="N104" s="61"/>
      <c r="O104" s="61"/>
      <c r="P104" s="61"/>
    </row>
    <row r="105" spans="9:16">
      <c r="I105" s="25"/>
      <c r="J105" s="25"/>
      <c r="K105" s="61"/>
      <c r="L105" s="61"/>
      <c r="M105" s="61"/>
      <c r="N105" s="61"/>
      <c r="O105" s="61"/>
      <c r="P105" s="61"/>
    </row>
  </sheetData>
  <mergeCells count="70">
    <mergeCell ref="AQ35:AX35"/>
    <mergeCell ref="AV36:AX36"/>
    <mergeCell ref="AR36:AT36"/>
    <mergeCell ref="BL4:BM4"/>
    <mergeCell ref="BN4:BO4"/>
    <mergeCell ref="BP4:BQ4"/>
    <mergeCell ref="BA2:BA4"/>
    <mergeCell ref="AQ31:AX31"/>
    <mergeCell ref="AQ25:AX25"/>
    <mergeCell ref="BB4:BC4"/>
    <mergeCell ref="BD4:BE4"/>
    <mergeCell ref="BF4:BG4"/>
    <mergeCell ref="BH4:BI4"/>
    <mergeCell ref="BJ4:BK4"/>
    <mergeCell ref="BB3:BE3"/>
    <mergeCell ref="BF3:BI3"/>
    <mergeCell ref="BJ3:BM3"/>
    <mergeCell ref="BN3:BQ3"/>
    <mergeCell ref="BR3:BU3"/>
    <mergeCell ref="AI6:AK6"/>
    <mergeCell ref="AI4:AK4"/>
    <mergeCell ref="AL4:AN4"/>
    <mergeCell ref="I88:N88"/>
    <mergeCell ref="I81:N81"/>
    <mergeCell ref="K4:M4"/>
    <mergeCell ref="K6:M6"/>
    <mergeCell ref="N4:P4"/>
    <mergeCell ref="Z4:AB4"/>
    <mergeCell ref="AF4:AH4"/>
    <mergeCell ref="Q4:S4"/>
    <mergeCell ref="W3:AB3"/>
    <mergeCell ref="AC4:AE4"/>
    <mergeCell ref="T4:V4"/>
    <mergeCell ref="J1:AN1"/>
    <mergeCell ref="AI3:AN3"/>
    <mergeCell ref="AC3:AH3"/>
    <mergeCell ref="W4:Y4"/>
    <mergeCell ref="W2:AN2"/>
    <mergeCell ref="K2:V2"/>
    <mergeCell ref="K3:P3"/>
    <mergeCell ref="J2:J3"/>
    <mergeCell ref="Q3:V3"/>
    <mergeCell ref="A1:G1"/>
    <mergeCell ref="A4:G4"/>
    <mergeCell ref="F2:G2"/>
    <mergeCell ref="D2:E2"/>
    <mergeCell ref="A2:A3"/>
    <mergeCell ref="B2:C2"/>
    <mergeCell ref="AQ17:AX17"/>
    <mergeCell ref="AR12:AT12"/>
    <mergeCell ref="AV12:AX12"/>
    <mergeCell ref="AQ1:AX1"/>
    <mergeCell ref="BA1:BU1"/>
    <mergeCell ref="AR3:AT3"/>
    <mergeCell ref="AV3:AX3"/>
    <mergeCell ref="AR2:AX2"/>
    <mergeCell ref="AR5:AT5"/>
    <mergeCell ref="AV5:AX5"/>
    <mergeCell ref="AQ4:AX4"/>
    <mergeCell ref="AQ11:AX11"/>
    <mergeCell ref="BR4:BS4"/>
    <mergeCell ref="BT4:BU4"/>
    <mergeCell ref="BB2:BI2"/>
    <mergeCell ref="BJ2:BU2"/>
    <mergeCell ref="AR18:AT18"/>
    <mergeCell ref="AV18:AX18"/>
    <mergeCell ref="AR26:AT26"/>
    <mergeCell ref="AV26:AX26"/>
    <mergeCell ref="AR32:AT32"/>
    <mergeCell ref="AV32:AX32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9"/>
  <sheetViews>
    <sheetView zoomScale="205" zoomScaleNormal="205" workbookViewId="0">
      <selection activeCell="F1" sqref="F1:H12"/>
    </sheetView>
  </sheetViews>
  <sheetFormatPr baseColWidth="10" defaultRowHeight="15"/>
  <cols>
    <col min="1" max="28" width="11.42578125" style="80"/>
  </cols>
  <sheetData>
    <row r="1" spans="1:28" ht="45">
      <c r="A1" s="8" t="s">
        <v>0</v>
      </c>
      <c r="B1" s="8" t="s">
        <v>1</v>
      </c>
      <c r="C1" s="8" t="s">
        <v>81</v>
      </c>
      <c r="D1" s="8" t="s">
        <v>128</v>
      </c>
      <c r="E1" s="8" t="s">
        <v>164</v>
      </c>
      <c r="F1" s="8" t="s">
        <v>67</v>
      </c>
      <c r="G1" s="8" t="s">
        <v>313</v>
      </c>
      <c r="H1" s="8" t="s">
        <v>314</v>
      </c>
      <c r="I1" s="8" t="s">
        <v>127</v>
      </c>
      <c r="J1" s="8" t="s">
        <v>12</v>
      </c>
      <c r="K1" s="8" t="s">
        <v>13</v>
      </c>
      <c r="L1" s="8" t="s">
        <v>126</v>
      </c>
      <c r="M1" s="8" t="s">
        <v>315</v>
      </c>
      <c r="N1" s="8" t="s">
        <v>316</v>
      </c>
      <c r="O1" s="8" t="s">
        <v>18</v>
      </c>
      <c r="P1" s="8" t="s">
        <v>125</v>
      </c>
      <c r="Q1" s="8" t="s">
        <v>85</v>
      </c>
      <c r="R1" s="8">
        <v>2</v>
      </c>
      <c r="S1" s="8">
        <v>3</v>
      </c>
      <c r="T1" s="9" t="s">
        <v>73</v>
      </c>
      <c r="U1" s="9" t="s">
        <v>74</v>
      </c>
      <c r="V1" s="9" t="s">
        <v>124</v>
      </c>
      <c r="W1" s="16" t="s">
        <v>123</v>
      </c>
      <c r="X1" s="39" t="s">
        <v>107</v>
      </c>
      <c r="Y1" s="39" t="s">
        <v>108</v>
      </c>
      <c r="Z1" s="41" t="s">
        <v>130</v>
      </c>
      <c r="AA1" s="41" t="s">
        <v>113</v>
      </c>
      <c r="AB1" s="41" t="s">
        <v>129</v>
      </c>
    </row>
    <row r="2" spans="1:28">
      <c r="A2" s="34">
        <v>25</v>
      </c>
      <c r="B2" s="34">
        <v>1</v>
      </c>
      <c r="C2" s="34">
        <v>0</v>
      </c>
      <c r="D2" s="6">
        <v>1</v>
      </c>
      <c r="E2" s="6">
        <v>3</v>
      </c>
      <c r="F2" s="6">
        <v>0</v>
      </c>
      <c r="G2" s="6">
        <v>0</v>
      </c>
      <c r="H2" s="6">
        <v>1</v>
      </c>
      <c r="I2" s="34">
        <v>1</v>
      </c>
      <c r="J2" s="34">
        <v>0</v>
      </c>
      <c r="K2" s="34">
        <v>0</v>
      </c>
      <c r="L2" s="34">
        <v>2</v>
      </c>
      <c r="M2" s="34">
        <v>1</v>
      </c>
      <c r="N2" s="34">
        <v>0</v>
      </c>
      <c r="O2" s="34">
        <v>0</v>
      </c>
      <c r="P2" s="34">
        <v>50000</v>
      </c>
      <c r="Q2" s="34">
        <v>1</v>
      </c>
      <c r="R2" s="34">
        <v>0</v>
      </c>
      <c r="S2" s="34">
        <v>0</v>
      </c>
      <c r="T2" s="5">
        <v>25</v>
      </c>
      <c r="U2" s="5">
        <v>1</v>
      </c>
      <c r="V2" s="5">
        <v>0</v>
      </c>
      <c r="W2" s="38">
        <v>25</v>
      </c>
      <c r="X2" s="47">
        <v>18</v>
      </c>
      <c r="Y2" s="47">
        <v>5</v>
      </c>
      <c r="Z2" s="47">
        <v>8</v>
      </c>
      <c r="AA2" s="47">
        <v>4</v>
      </c>
      <c r="AB2" s="47">
        <v>8</v>
      </c>
    </row>
    <row r="3" spans="1:28">
      <c r="A3" s="34">
        <v>56</v>
      </c>
      <c r="B3" s="34">
        <v>0</v>
      </c>
      <c r="C3" s="34">
        <v>0</v>
      </c>
      <c r="D3" s="6">
        <v>2</v>
      </c>
      <c r="E3" s="6">
        <v>2</v>
      </c>
      <c r="F3" s="6">
        <v>0</v>
      </c>
      <c r="G3" s="6">
        <v>0</v>
      </c>
      <c r="H3" s="6">
        <v>0</v>
      </c>
      <c r="I3" s="34">
        <v>1</v>
      </c>
      <c r="J3" s="34">
        <v>0</v>
      </c>
      <c r="K3" s="34">
        <v>0</v>
      </c>
      <c r="L3" s="34">
        <v>1</v>
      </c>
      <c r="M3" s="34">
        <v>0</v>
      </c>
      <c r="N3" s="34">
        <v>0</v>
      </c>
      <c r="O3" s="34">
        <v>0</v>
      </c>
      <c r="P3" s="34">
        <v>100000</v>
      </c>
      <c r="Q3" s="34">
        <v>1</v>
      </c>
      <c r="R3" s="34">
        <v>0</v>
      </c>
      <c r="S3" s="34">
        <v>0</v>
      </c>
      <c r="T3" s="5">
        <v>23</v>
      </c>
      <c r="U3" s="5">
        <v>1</v>
      </c>
      <c r="V3" s="5">
        <v>0</v>
      </c>
      <c r="W3" s="38">
        <v>25</v>
      </c>
      <c r="X3" s="47">
        <v>15</v>
      </c>
      <c r="Y3" s="47">
        <v>8</v>
      </c>
      <c r="Z3" s="47">
        <v>13</v>
      </c>
      <c r="AA3" s="47">
        <v>4</v>
      </c>
      <c r="AB3" s="47">
        <v>5</v>
      </c>
    </row>
    <row r="4" spans="1:28">
      <c r="A4" s="34">
        <v>24</v>
      </c>
      <c r="B4" s="34">
        <v>1</v>
      </c>
      <c r="C4" s="34">
        <v>9</v>
      </c>
      <c r="D4" s="6">
        <v>1</v>
      </c>
      <c r="E4" s="6">
        <v>3</v>
      </c>
      <c r="F4" s="6">
        <v>0</v>
      </c>
      <c r="G4" s="6">
        <v>0</v>
      </c>
      <c r="H4" s="6">
        <v>1</v>
      </c>
      <c r="I4" s="34">
        <v>1</v>
      </c>
      <c r="J4" s="34">
        <v>0</v>
      </c>
      <c r="K4" s="34">
        <v>0</v>
      </c>
      <c r="L4" s="34">
        <v>2</v>
      </c>
      <c r="M4" s="34">
        <v>1</v>
      </c>
      <c r="N4" s="34">
        <v>0</v>
      </c>
      <c r="O4" s="34">
        <v>0</v>
      </c>
      <c r="P4" s="34">
        <v>100000</v>
      </c>
      <c r="Q4" s="34">
        <v>1</v>
      </c>
      <c r="R4" s="34">
        <v>0</v>
      </c>
      <c r="S4" s="34">
        <v>0</v>
      </c>
      <c r="T4" s="5">
        <v>25</v>
      </c>
      <c r="U4" s="5">
        <v>0</v>
      </c>
      <c r="V4" s="5">
        <v>0</v>
      </c>
      <c r="W4" s="38">
        <v>32</v>
      </c>
      <c r="X4" s="47">
        <v>35</v>
      </c>
      <c r="Y4" s="47">
        <v>30</v>
      </c>
      <c r="Z4" s="47">
        <v>18</v>
      </c>
      <c r="AA4" s="47">
        <v>9</v>
      </c>
      <c r="AB4" s="47">
        <v>12</v>
      </c>
    </row>
    <row r="5" spans="1:28">
      <c r="A5" s="34">
        <v>24</v>
      </c>
      <c r="B5" s="34">
        <v>0</v>
      </c>
      <c r="C5" s="34">
        <v>5</v>
      </c>
      <c r="D5" s="6">
        <v>2</v>
      </c>
      <c r="E5" s="6">
        <v>2</v>
      </c>
      <c r="F5" s="6">
        <v>0</v>
      </c>
      <c r="G5" s="6">
        <v>0</v>
      </c>
      <c r="H5" s="6">
        <v>0</v>
      </c>
      <c r="I5" s="34">
        <v>1</v>
      </c>
      <c r="J5" s="34">
        <v>0</v>
      </c>
      <c r="K5" s="34">
        <v>0</v>
      </c>
      <c r="L5" s="34">
        <v>2</v>
      </c>
      <c r="M5" s="34">
        <v>1</v>
      </c>
      <c r="N5" s="34">
        <v>0</v>
      </c>
      <c r="O5" s="34">
        <v>0</v>
      </c>
      <c r="P5" s="34">
        <v>80000</v>
      </c>
      <c r="Q5" s="34">
        <v>1</v>
      </c>
      <c r="R5" s="34">
        <v>0</v>
      </c>
      <c r="S5" s="34">
        <v>0</v>
      </c>
      <c r="T5" s="5">
        <v>22</v>
      </c>
      <c r="U5" s="5">
        <v>1</v>
      </c>
      <c r="V5" s="5">
        <v>0</v>
      </c>
      <c r="W5" s="38">
        <v>48</v>
      </c>
      <c r="X5" s="47">
        <v>29</v>
      </c>
      <c r="Y5" s="47">
        <v>16</v>
      </c>
      <c r="Z5" s="47">
        <v>13</v>
      </c>
      <c r="AA5" s="47">
        <v>7</v>
      </c>
      <c r="AB5" s="47">
        <v>10</v>
      </c>
    </row>
    <row r="6" spans="1:28">
      <c r="A6" s="34">
        <v>30</v>
      </c>
      <c r="B6" s="34">
        <v>1</v>
      </c>
      <c r="C6" s="34">
        <v>11</v>
      </c>
      <c r="D6" s="6">
        <v>1</v>
      </c>
      <c r="E6" s="6">
        <v>3</v>
      </c>
      <c r="F6" s="6">
        <v>0</v>
      </c>
      <c r="G6" s="6">
        <v>0</v>
      </c>
      <c r="H6" s="6">
        <v>1</v>
      </c>
      <c r="I6" s="34">
        <v>1</v>
      </c>
      <c r="J6" s="34">
        <v>0</v>
      </c>
      <c r="K6" s="34">
        <v>0</v>
      </c>
      <c r="L6" s="34">
        <v>2</v>
      </c>
      <c r="M6" s="34">
        <v>1</v>
      </c>
      <c r="N6" s="34">
        <v>0</v>
      </c>
      <c r="O6" s="34">
        <v>0</v>
      </c>
      <c r="P6" s="34">
        <v>50000</v>
      </c>
      <c r="Q6" s="34">
        <v>1</v>
      </c>
      <c r="R6" s="34">
        <v>0</v>
      </c>
      <c r="S6" s="34">
        <v>0</v>
      </c>
      <c r="T6" s="5">
        <v>21</v>
      </c>
      <c r="U6" s="5">
        <v>0</v>
      </c>
      <c r="V6" s="5">
        <v>0</v>
      </c>
      <c r="W6" s="38">
        <v>42</v>
      </c>
      <c r="X6" s="47">
        <v>34</v>
      </c>
      <c r="Y6" s="47">
        <v>21</v>
      </c>
      <c r="Z6" s="47">
        <v>16</v>
      </c>
      <c r="AA6" s="47">
        <v>7</v>
      </c>
      <c r="AB6" s="47">
        <v>11</v>
      </c>
    </row>
    <row r="7" spans="1:28">
      <c r="A7" s="34">
        <v>49</v>
      </c>
      <c r="B7" s="34">
        <v>1</v>
      </c>
      <c r="C7" s="34">
        <v>0</v>
      </c>
      <c r="D7" s="6">
        <v>3</v>
      </c>
      <c r="E7" s="6">
        <v>1</v>
      </c>
      <c r="F7" s="6">
        <v>1</v>
      </c>
      <c r="G7" s="6">
        <v>0</v>
      </c>
      <c r="H7" s="6">
        <v>0</v>
      </c>
      <c r="I7" s="34">
        <v>1</v>
      </c>
      <c r="J7" s="34">
        <v>0</v>
      </c>
      <c r="K7" s="34">
        <v>0</v>
      </c>
      <c r="L7" s="34">
        <v>2</v>
      </c>
      <c r="M7" s="34">
        <v>1</v>
      </c>
      <c r="N7" s="34">
        <v>0</v>
      </c>
      <c r="O7" s="34">
        <v>0</v>
      </c>
      <c r="P7" s="34">
        <v>200000</v>
      </c>
      <c r="Q7" s="34">
        <v>1</v>
      </c>
      <c r="R7" s="34">
        <v>0</v>
      </c>
      <c r="S7" s="34">
        <v>0</v>
      </c>
      <c r="T7" s="5">
        <v>20</v>
      </c>
      <c r="U7" s="5">
        <v>1</v>
      </c>
      <c r="V7" s="5">
        <v>0</v>
      </c>
      <c r="W7" s="38">
        <v>45</v>
      </c>
      <c r="X7" s="47">
        <v>32</v>
      </c>
      <c r="Y7" s="47">
        <v>8</v>
      </c>
      <c r="Z7" s="47">
        <v>17</v>
      </c>
      <c r="AA7" s="47">
        <v>8</v>
      </c>
      <c r="AB7" s="47">
        <v>11</v>
      </c>
    </row>
    <row r="8" spans="1:28">
      <c r="A8" s="34">
        <v>18</v>
      </c>
      <c r="B8" s="34">
        <v>1</v>
      </c>
      <c r="C8" s="34">
        <v>7</v>
      </c>
      <c r="D8" s="6">
        <v>4</v>
      </c>
      <c r="E8" s="6">
        <v>4</v>
      </c>
      <c r="F8" s="6">
        <v>0</v>
      </c>
      <c r="G8" s="6">
        <v>1</v>
      </c>
      <c r="H8" s="6">
        <v>0</v>
      </c>
      <c r="I8" s="34">
        <v>2</v>
      </c>
      <c r="J8" s="34">
        <v>1</v>
      </c>
      <c r="K8" s="34">
        <v>0</v>
      </c>
      <c r="L8" s="34">
        <v>1</v>
      </c>
      <c r="M8" s="34">
        <v>0</v>
      </c>
      <c r="N8" s="34">
        <v>0</v>
      </c>
      <c r="O8" s="34">
        <v>0</v>
      </c>
      <c r="P8" s="34">
        <v>100000</v>
      </c>
      <c r="Q8" s="34">
        <v>1</v>
      </c>
      <c r="R8" s="34">
        <v>0</v>
      </c>
      <c r="S8" s="34">
        <v>0</v>
      </c>
      <c r="T8" s="5">
        <v>19</v>
      </c>
      <c r="U8" s="5">
        <v>0</v>
      </c>
      <c r="V8" s="5">
        <v>1</v>
      </c>
      <c r="W8" s="38">
        <v>40</v>
      </c>
      <c r="X8" s="47">
        <v>29</v>
      </c>
      <c r="Y8" s="47">
        <v>12</v>
      </c>
      <c r="Z8" s="47">
        <v>8</v>
      </c>
      <c r="AA8" s="47">
        <v>3</v>
      </c>
      <c r="AB8" s="47">
        <v>9</v>
      </c>
    </row>
    <row r="9" spans="1:28">
      <c r="A9" s="34">
        <v>18</v>
      </c>
      <c r="B9" s="34">
        <v>0</v>
      </c>
      <c r="C9" s="34">
        <v>9</v>
      </c>
      <c r="D9" s="6">
        <v>2</v>
      </c>
      <c r="E9" s="6">
        <v>2</v>
      </c>
      <c r="F9" s="6">
        <v>0</v>
      </c>
      <c r="G9" s="6">
        <v>0</v>
      </c>
      <c r="H9" s="6">
        <v>0</v>
      </c>
      <c r="I9" s="34">
        <v>1</v>
      </c>
      <c r="J9" s="34">
        <v>0</v>
      </c>
      <c r="K9" s="34">
        <v>0</v>
      </c>
      <c r="L9" s="34">
        <v>2</v>
      </c>
      <c r="M9" s="34">
        <v>1</v>
      </c>
      <c r="N9" s="34">
        <v>0</v>
      </c>
      <c r="O9" s="34">
        <v>0</v>
      </c>
      <c r="P9" s="34">
        <v>150000</v>
      </c>
      <c r="Q9" s="34">
        <v>1</v>
      </c>
      <c r="R9" s="34">
        <v>0</v>
      </c>
      <c r="S9" s="34">
        <v>0</v>
      </c>
      <c r="T9" s="5">
        <v>24</v>
      </c>
      <c r="U9" s="5">
        <v>0</v>
      </c>
      <c r="V9" s="5">
        <v>1</v>
      </c>
      <c r="W9" s="38">
        <v>49</v>
      </c>
      <c r="X9" s="47">
        <v>35</v>
      </c>
      <c r="Y9" s="47">
        <v>24</v>
      </c>
      <c r="Z9" s="47">
        <v>23</v>
      </c>
      <c r="AA9" s="47">
        <v>12</v>
      </c>
      <c r="AB9" s="47">
        <v>12</v>
      </c>
    </row>
    <row r="10" spans="1:28">
      <c r="A10" s="34">
        <v>31</v>
      </c>
      <c r="B10" s="34">
        <v>0</v>
      </c>
      <c r="C10" s="34">
        <v>1</v>
      </c>
      <c r="D10" s="6">
        <v>2</v>
      </c>
      <c r="E10" s="6">
        <v>2</v>
      </c>
      <c r="F10" s="6">
        <v>0</v>
      </c>
      <c r="G10" s="6">
        <v>0</v>
      </c>
      <c r="H10" s="6">
        <v>0</v>
      </c>
      <c r="I10" s="34">
        <v>1</v>
      </c>
      <c r="J10" s="34">
        <v>0</v>
      </c>
      <c r="K10" s="34">
        <v>0</v>
      </c>
      <c r="L10" s="34">
        <v>2</v>
      </c>
      <c r="M10" s="34">
        <v>1</v>
      </c>
      <c r="N10" s="34">
        <v>0</v>
      </c>
      <c r="O10" s="34">
        <v>0</v>
      </c>
      <c r="P10" s="34">
        <v>30000</v>
      </c>
      <c r="Q10" s="34">
        <v>1</v>
      </c>
      <c r="R10" s="34">
        <v>0</v>
      </c>
      <c r="S10" s="34">
        <v>0</v>
      </c>
      <c r="T10" s="5">
        <v>23</v>
      </c>
      <c r="U10" s="5">
        <v>1</v>
      </c>
      <c r="V10" s="5">
        <v>0</v>
      </c>
      <c r="W10" s="38">
        <v>44</v>
      </c>
      <c r="X10" s="47">
        <v>33</v>
      </c>
      <c r="Y10" s="47">
        <v>5</v>
      </c>
      <c r="Z10" s="47">
        <v>13</v>
      </c>
      <c r="AA10" s="47">
        <v>8</v>
      </c>
      <c r="AB10" s="47">
        <v>11</v>
      </c>
    </row>
    <row r="11" spans="1:28">
      <c r="A11" s="34">
        <v>32</v>
      </c>
      <c r="B11" s="34">
        <v>0</v>
      </c>
      <c r="C11" s="34">
        <v>5</v>
      </c>
      <c r="D11" s="6">
        <v>2</v>
      </c>
      <c r="E11" s="6">
        <v>2</v>
      </c>
      <c r="F11" s="6">
        <v>0</v>
      </c>
      <c r="G11" s="6">
        <v>0</v>
      </c>
      <c r="H11" s="6">
        <v>0</v>
      </c>
      <c r="I11" s="34">
        <v>1</v>
      </c>
      <c r="J11" s="34">
        <v>0</v>
      </c>
      <c r="K11" s="34">
        <v>0</v>
      </c>
      <c r="L11" s="34">
        <v>2</v>
      </c>
      <c r="M11" s="34">
        <v>1</v>
      </c>
      <c r="N11" s="34">
        <v>0</v>
      </c>
      <c r="O11" s="34">
        <v>0</v>
      </c>
      <c r="P11" s="34">
        <v>500000</v>
      </c>
      <c r="Q11" s="34">
        <v>1</v>
      </c>
      <c r="R11" s="34">
        <v>0</v>
      </c>
      <c r="S11" s="34">
        <v>0</v>
      </c>
      <c r="T11" s="5">
        <v>23</v>
      </c>
      <c r="U11" s="5">
        <v>1</v>
      </c>
      <c r="V11" s="5">
        <v>0</v>
      </c>
      <c r="W11" s="38">
        <v>45</v>
      </c>
      <c r="X11" s="47">
        <v>30</v>
      </c>
      <c r="Y11" s="47">
        <v>12</v>
      </c>
      <c r="Z11" s="47">
        <v>18</v>
      </c>
      <c r="AA11" s="47">
        <v>7</v>
      </c>
      <c r="AB11" s="47">
        <v>10</v>
      </c>
    </row>
    <row r="12" spans="1:28">
      <c r="A12" s="34">
        <v>40</v>
      </c>
      <c r="B12" s="34">
        <v>0</v>
      </c>
      <c r="C12" s="34">
        <v>3</v>
      </c>
      <c r="D12" s="6">
        <v>1</v>
      </c>
      <c r="E12" s="6">
        <v>3</v>
      </c>
      <c r="F12" s="6">
        <v>0</v>
      </c>
      <c r="G12" s="6">
        <v>0</v>
      </c>
      <c r="H12" s="6">
        <v>1</v>
      </c>
      <c r="I12" s="34">
        <v>1</v>
      </c>
      <c r="J12" s="34">
        <v>0</v>
      </c>
      <c r="K12" s="34">
        <v>0</v>
      </c>
      <c r="L12" s="34">
        <v>2</v>
      </c>
      <c r="M12" s="34">
        <v>1</v>
      </c>
      <c r="N12" s="34">
        <v>0</v>
      </c>
      <c r="O12" s="34">
        <v>0</v>
      </c>
      <c r="P12" s="34">
        <v>300000</v>
      </c>
      <c r="Q12" s="34">
        <v>1</v>
      </c>
      <c r="R12" s="34">
        <v>0</v>
      </c>
      <c r="S12" s="34">
        <v>0</v>
      </c>
      <c r="T12" s="5">
        <v>32</v>
      </c>
      <c r="U12" s="5">
        <v>1</v>
      </c>
      <c r="V12" s="5">
        <v>0</v>
      </c>
      <c r="W12" s="38">
        <v>54</v>
      </c>
      <c r="X12" s="47">
        <v>33</v>
      </c>
      <c r="Y12" s="47">
        <v>11</v>
      </c>
      <c r="Z12" s="47">
        <v>11</v>
      </c>
      <c r="AA12" s="47">
        <v>8</v>
      </c>
      <c r="AB12" s="47">
        <v>12</v>
      </c>
    </row>
    <row r="13" spans="1:28">
      <c r="A13" s="34">
        <v>27</v>
      </c>
      <c r="B13" s="34">
        <v>0</v>
      </c>
      <c r="C13" s="34">
        <v>0</v>
      </c>
      <c r="D13" s="6">
        <v>1</v>
      </c>
      <c r="E13" s="6">
        <v>3</v>
      </c>
      <c r="F13" s="6">
        <v>0</v>
      </c>
      <c r="G13" s="6">
        <v>0</v>
      </c>
      <c r="H13" s="6">
        <v>1</v>
      </c>
      <c r="I13" s="34">
        <v>1</v>
      </c>
      <c r="J13" s="34">
        <v>0</v>
      </c>
      <c r="K13" s="34">
        <v>0</v>
      </c>
      <c r="L13" s="34">
        <v>2</v>
      </c>
      <c r="M13" s="34">
        <v>1</v>
      </c>
      <c r="N13" s="34">
        <v>0</v>
      </c>
      <c r="O13" s="34">
        <v>0</v>
      </c>
      <c r="P13" s="34">
        <v>200000</v>
      </c>
      <c r="Q13" s="34">
        <v>1</v>
      </c>
      <c r="R13" s="34">
        <v>0</v>
      </c>
      <c r="S13" s="34">
        <v>0</v>
      </c>
      <c r="T13" s="5">
        <v>20</v>
      </c>
      <c r="U13" s="5">
        <v>1</v>
      </c>
      <c r="V13" s="5">
        <v>0</v>
      </c>
      <c r="W13" s="38">
        <v>40</v>
      </c>
      <c r="X13" s="47">
        <v>30</v>
      </c>
      <c r="Y13" s="47">
        <v>17</v>
      </c>
      <c r="Z13" s="47">
        <v>9</v>
      </c>
      <c r="AA13" s="47">
        <v>6</v>
      </c>
      <c r="AB13" s="47">
        <v>11</v>
      </c>
    </row>
    <row r="14" spans="1:28">
      <c r="A14" s="34">
        <v>45</v>
      </c>
      <c r="B14" s="34">
        <v>1</v>
      </c>
      <c r="C14" s="34">
        <v>5</v>
      </c>
      <c r="D14" s="6">
        <v>3</v>
      </c>
      <c r="E14" s="6">
        <v>1</v>
      </c>
      <c r="F14" s="6">
        <v>1</v>
      </c>
      <c r="G14" s="6">
        <v>0</v>
      </c>
      <c r="H14" s="6">
        <v>0</v>
      </c>
      <c r="I14" s="34">
        <v>1</v>
      </c>
      <c r="J14" s="34">
        <v>0</v>
      </c>
      <c r="K14" s="34">
        <v>0</v>
      </c>
      <c r="L14" s="34">
        <v>1</v>
      </c>
      <c r="M14" s="34">
        <v>0</v>
      </c>
      <c r="N14" s="34">
        <v>0</v>
      </c>
      <c r="O14" s="34">
        <v>0</v>
      </c>
      <c r="P14" s="34">
        <v>150000</v>
      </c>
      <c r="Q14" s="34">
        <v>1</v>
      </c>
      <c r="R14" s="34">
        <v>0</v>
      </c>
      <c r="S14" s="34">
        <v>0</v>
      </c>
      <c r="T14" s="5">
        <v>21</v>
      </c>
      <c r="U14" s="5">
        <v>1</v>
      </c>
      <c r="V14" s="5">
        <v>0</v>
      </c>
      <c r="W14" s="38">
        <v>29</v>
      </c>
      <c r="X14" s="47">
        <v>30</v>
      </c>
      <c r="Y14" s="47">
        <v>20</v>
      </c>
      <c r="Z14" s="47">
        <v>18</v>
      </c>
      <c r="AA14" s="47">
        <v>7</v>
      </c>
      <c r="AB14" s="47">
        <v>11</v>
      </c>
    </row>
    <row r="15" spans="1:28">
      <c r="A15" s="34">
        <v>38</v>
      </c>
      <c r="B15" s="34">
        <v>1</v>
      </c>
      <c r="C15" s="34">
        <v>5</v>
      </c>
      <c r="D15" s="6">
        <v>3</v>
      </c>
      <c r="E15" s="6">
        <v>1</v>
      </c>
      <c r="F15" s="6">
        <v>1</v>
      </c>
      <c r="G15" s="6">
        <v>0</v>
      </c>
      <c r="H15" s="6">
        <v>0</v>
      </c>
      <c r="I15" s="34">
        <v>1</v>
      </c>
      <c r="J15" s="34">
        <v>0</v>
      </c>
      <c r="K15" s="34">
        <v>0</v>
      </c>
      <c r="L15" s="34">
        <v>2</v>
      </c>
      <c r="M15" s="34">
        <v>1</v>
      </c>
      <c r="N15" s="34">
        <v>0</v>
      </c>
      <c r="O15" s="34">
        <v>0</v>
      </c>
      <c r="P15" s="34">
        <v>250000</v>
      </c>
      <c r="Q15" s="34">
        <v>1</v>
      </c>
      <c r="R15" s="34">
        <v>0</v>
      </c>
      <c r="S15" s="34">
        <v>0</v>
      </c>
      <c r="T15" s="5">
        <v>30</v>
      </c>
      <c r="U15" s="5">
        <v>1</v>
      </c>
      <c r="V15" s="5">
        <v>0</v>
      </c>
      <c r="W15" s="38">
        <v>25</v>
      </c>
      <c r="X15" s="47">
        <v>25</v>
      </c>
      <c r="Y15" s="47">
        <v>16</v>
      </c>
      <c r="Z15" s="47">
        <v>19</v>
      </c>
      <c r="AA15" s="47">
        <v>8</v>
      </c>
      <c r="AB15" s="47">
        <v>9</v>
      </c>
    </row>
    <row r="16" spans="1:28">
      <c r="A16" s="34">
        <v>32</v>
      </c>
      <c r="B16" s="34">
        <v>0</v>
      </c>
      <c r="C16" s="34">
        <v>1</v>
      </c>
      <c r="D16" s="6">
        <v>2</v>
      </c>
      <c r="E16" s="6">
        <v>2</v>
      </c>
      <c r="F16" s="6">
        <v>0</v>
      </c>
      <c r="G16" s="6">
        <v>0</v>
      </c>
      <c r="H16" s="6">
        <v>0</v>
      </c>
      <c r="I16" s="34">
        <v>1</v>
      </c>
      <c r="J16" s="34">
        <v>0</v>
      </c>
      <c r="K16" s="34">
        <v>0</v>
      </c>
      <c r="L16" s="34">
        <v>2</v>
      </c>
      <c r="M16" s="34">
        <v>1</v>
      </c>
      <c r="N16" s="34">
        <v>0</v>
      </c>
      <c r="O16" s="34">
        <v>0</v>
      </c>
      <c r="P16" s="34">
        <v>50000</v>
      </c>
      <c r="Q16" s="34">
        <v>1</v>
      </c>
      <c r="R16" s="34">
        <v>0</v>
      </c>
      <c r="S16" s="34">
        <v>0</v>
      </c>
      <c r="T16" s="5">
        <v>21</v>
      </c>
      <c r="U16" s="5">
        <v>1</v>
      </c>
      <c r="V16" s="5">
        <v>0</v>
      </c>
      <c r="W16" s="38">
        <v>51</v>
      </c>
      <c r="X16" s="47">
        <v>27</v>
      </c>
      <c r="Y16" s="47">
        <v>14</v>
      </c>
      <c r="Z16" s="47">
        <v>22</v>
      </c>
      <c r="AA16" s="47">
        <v>9</v>
      </c>
      <c r="AB16" s="47">
        <v>12</v>
      </c>
    </row>
    <row r="17" spans="1:28">
      <c r="A17" s="34">
        <v>59</v>
      </c>
      <c r="B17" s="34">
        <v>0</v>
      </c>
      <c r="C17" s="34">
        <v>0</v>
      </c>
      <c r="D17" s="6">
        <v>1</v>
      </c>
      <c r="E17" s="6">
        <v>3</v>
      </c>
      <c r="F17" s="6">
        <v>0</v>
      </c>
      <c r="G17" s="6">
        <v>0</v>
      </c>
      <c r="H17" s="6">
        <v>1</v>
      </c>
      <c r="I17" s="34">
        <v>1</v>
      </c>
      <c r="J17" s="34">
        <v>0</v>
      </c>
      <c r="K17" s="34">
        <v>0</v>
      </c>
      <c r="L17" s="34">
        <v>4</v>
      </c>
      <c r="M17" s="34">
        <v>0</v>
      </c>
      <c r="N17" s="34">
        <v>1</v>
      </c>
      <c r="O17" s="34">
        <v>0</v>
      </c>
      <c r="P17" s="34">
        <v>30000</v>
      </c>
      <c r="Q17" s="34">
        <v>1</v>
      </c>
      <c r="R17" s="34">
        <v>0</v>
      </c>
      <c r="S17" s="34">
        <v>0</v>
      </c>
      <c r="T17" s="5">
        <v>20</v>
      </c>
      <c r="U17" s="5">
        <v>1</v>
      </c>
      <c r="V17" s="5">
        <v>0</v>
      </c>
      <c r="W17" s="38">
        <v>25</v>
      </c>
      <c r="X17" s="47">
        <v>20</v>
      </c>
      <c r="Y17" s="47">
        <v>8</v>
      </c>
      <c r="Z17" s="47">
        <v>12</v>
      </c>
      <c r="AA17" s="47">
        <v>6</v>
      </c>
      <c r="AB17" s="47">
        <v>10</v>
      </c>
    </row>
    <row r="18" spans="1:28">
      <c r="A18" s="34">
        <v>41</v>
      </c>
      <c r="B18" s="34">
        <v>0</v>
      </c>
      <c r="C18" s="34">
        <v>6</v>
      </c>
      <c r="D18" s="6">
        <v>2</v>
      </c>
      <c r="E18" s="6">
        <v>2</v>
      </c>
      <c r="F18" s="6">
        <v>0</v>
      </c>
      <c r="G18" s="6">
        <v>0</v>
      </c>
      <c r="H18" s="6">
        <v>0</v>
      </c>
      <c r="I18" s="34">
        <v>1</v>
      </c>
      <c r="J18" s="34">
        <v>0</v>
      </c>
      <c r="K18" s="34">
        <v>0</v>
      </c>
      <c r="L18" s="34">
        <v>2</v>
      </c>
      <c r="M18" s="34">
        <v>1</v>
      </c>
      <c r="N18" s="34">
        <v>0</v>
      </c>
      <c r="O18" s="34">
        <v>0</v>
      </c>
      <c r="P18" s="34">
        <v>130000</v>
      </c>
      <c r="Q18" s="34">
        <v>1</v>
      </c>
      <c r="R18" s="34">
        <v>0</v>
      </c>
      <c r="S18" s="34">
        <v>0</v>
      </c>
      <c r="T18" s="5">
        <v>25</v>
      </c>
      <c r="U18" s="5">
        <v>0</v>
      </c>
      <c r="V18" s="5">
        <v>0</v>
      </c>
      <c r="W18" s="38">
        <v>33</v>
      </c>
      <c r="X18" s="47">
        <v>23</v>
      </c>
      <c r="Y18" s="47">
        <v>12</v>
      </c>
      <c r="Z18" s="47">
        <v>17</v>
      </c>
      <c r="AA18" s="47">
        <v>7</v>
      </c>
      <c r="AB18" s="47">
        <v>12</v>
      </c>
    </row>
    <row r="19" spans="1:28">
      <c r="A19" s="34">
        <v>41</v>
      </c>
      <c r="B19" s="34">
        <v>0</v>
      </c>
      <c r="C19" s="34">
        <v>7</v>
      </c>
      <c r="D19" s="6">
        <v>2</v>
      </c>
      <c r="E19" s="6">
        <v>2</v>
      </c>
      <c r="F19" s="6">
        <v>0</v>
      </c>
      <c r="G19" s="6">
        <v>0</v>
      </c>
      <c r="H19" s="6">
        <v>0</v>
      </c>
      <c r="I19" s="34">
        <v>1</v>
      </c>
      <c r="J19" s="34">
        <v>0</v>
      </c>
      <c r="K19" s="34">
        <v>0</v>
      </c>
      <c r="L19" s="34">
        <v>3</v>
      </c>
      <c r="M19" s="34">
        <v>1</v>
      </c>
      <c r="N19" s="34">
        <v>0</v>
      </c>
      <c r="O19" s="34">
        <v>0</v>
      </c>
      <c r="P19" s="34">
        <v>200000</v>
      </c>
      <c r="Q19" s="34">
        <v>1</v>
      </c>
      <c r="R19" s="34">
        <v>0</v>
      </c>
      <c r="S19" s="34">
        <v>0</v>
      </c>
      <c r="T19" s="5">
        <v>24</v>
      </c>
      <c r="U19" s="5">
        <v>0</v>
      </c>
      <c r="V19" s="5">
        <v>0</v>
      </c>
      <c r="W19" s="38">
        <v>30</v>
      </c>
      <c r="X19" s="47">
        <v>29</v>
      </c>
      <c r="Y19" s="47">
        <v>15</v>
      </c>
      <c r="Z19" s="47">
        <v>12</v>
      </c>
      <c r="AA19" s="47">
        <v>9</v>
      </c>
      <c r="AB19" s="47">
        <v>12</v>
      </c>
    </row>
    <row r="20" spans="1:28">
      <c r="A20" s="34">
        <v>48</v>
      </c>
      <c r="B20" s="34">
        <v>0</v>
      </c>
      <c r="C20" s="34">
        <v>0</v>
      </c>
      <c r="D20" s="6">
        <v>1</v>
      </c>
      <c r="E20" s="6">
        <v>3</v>
      </c>
      <c r="F20" s="6">
        <v>0</v>
      </c>
      <c r="G20" s="6">
        <v>0</v>
      </c>
      <c r="H20" s="6">
        <v>1</v>
      </c>
      <c r="I20" s="34">
        <v>1</v>
      </c>
      <c r="J20" s="34">
        <v>0</v>
      </c>
      <c r="K20" s="34">
        <v>0</v>
      </c>
      <c r="L20" s="34">
        <v>2</v>
      </c>
      <c r="M20" s="34">
        <v>1</v>
      </c>
      <c r="N20" s="34">
        <v>0</v>
      </c>
      <c r="O20" s="34">
        <v>0</v>
      </c>
      <c r="P20" s="34">
        <v>80000</v>
      </c>
      <c r="Q20" s="34">
        <v>2</v>
      </c>
      <c r="R20" s="34">
        <v>1</v>
      </c>
      <c r="S20" s="34">
        <v>0</v>
      </c>
      <c r="T20" s="5">
        <v>25</v>
      </c>
      <c r="U20" s="5">
        <v>1</v>
      </c>
      <c r="V20" s="5">
        <v>0</v>
      </c>
      <c r="W20" s="38">
        <v>29</v>
      </c>
      <c r="X20" s="47">
        <v>20</v>
      </c>
      <c r="Y20" s="47">
        <v>12</v>
      </c>
      <c r="Z20" s="47">
        <v>7</v>
      </c>
      <c r="AA20" s="47">
        <v>1</v>
      </c>
      <c r="AB20" s="47">
        <v>6</v>
      </c>
    </row>
    <row r="21" spans="1:28">
      <c r="A21" s="34">
        <v>39</v>
      </c>
      <c r="B21" s="34">
        <v>0</v>
      </c>
      <c r="C21" s="34">
        <v>9</v>
      </c>
      <c r="D21" s="6">
        <v>2</v>
      </c>
      <c r="E21" s="6">
        <v>2</v>
      </c>
      <c r="F21" s="6">
        <v>0</v>
      </c>
      <c r="G21" s="6">
        <v>0</v>
      </c>
      <c r="H21" s="6">
        <v>0</v>
      </c>
      <c r="I21" s="34">
        <v>1</v>
      </c>
      <c r="J21" s="34">
        <v>0</v>
      </c>
      <c r="K21" s="34">
        <v>0</v>
      </c>
      <c r="L21" s="34">
        <v>1</v>
      </c>
      <c r="M21" s="34">
        <v>0</v>
      </c>
      <c r="N21" s="34">
        <v>0</v>
      </c>
      <c r="O21" s="34">
        <v>0</v>
      </c>
      <c r="P21" s="34">
        <v>50000</v>
      </c>
      <c r="Q21" s="34">
        <v>2</v>
      </c>
      <c r="R21" s="34">
        <v>1</v>
      </c>
      <c r="S21" s="34">
        <v>0</v>
      </c>
      <c r="T21" s="5">
        <v>27</v>
      </c>
      <c r="U21" s="5">
        <v>0</v>
      </c>
      <c r="V21" s="5">
        <v>0</v>
      </c>
      <c r="W21" s="38">
        <v>48</v>
      </c>
      <c r="X21" s="47">
        <v>35</v>
      </c>
      <c r="Y21" s="47">
        <v>20</v>
      </c>
      <c r="Z21" s="47">
        <v>11</v>
      </c>
      <c r="AA21" s="47">
        <v>9</v>
      </c>
      <c r="AB21" s="47">
        <v>12</v>
      </c>
    </row>
    <row r="22" spans="1:28">
      <c r="A22" s="34">
        <v>44</v>
      </c>
      <c r="B22" s="34">
        <v>1</v>
      </c>
      <c r="C22" s="34">
        <v>3</v>
      </c>
      <c r="D22" s="6">
        <v>3</v>
      </c>
      <c r="E22" s="6">
        <v>1</v>
      </c>
      <c r="F22" s="6">
        <v>1</v>
      </c>
      <c r="G22" s="6">
        <v>0</v>
      </c>
      <c r="H22" s="6">
        <v>0</v>
      </c>
      <c r="I22" s="34">
        <v>1</v>
      </c>
      <c r="J22" s="34">
        <v>0</v>
      </c>
      <c r="K22" s="34">
        <v>0</v>
      </c>
      <c r="L22" s="34">
        <v>2</v>
      </c>
      <c r="M22" s="34">
        <v>1</v>
      </c>
      <c r="N22" s="34">
        <v>0</v>
      </c>
      <c r="O22" s="34">
        <v>0</v>
      </c>
      <c r="P22" s="34">
        <v>100000</v>
      </c>
      <c r="Q22" s="34">
        <v>1</v>
      </c>
      <c r="R22" s="34">
        <v>0</v>
      </c>
      <c r="S22" s="34">
        <v>0</v>
      </c>
      <c r="T22" s="5">
        <v>26</v>
      </c>
      <c r="U22" s="5">
        <v>1</v>
      </c>
      <c r="V22" s="5">
        <v>0</v>
      </c>
      <c r="W22" s="38">
        <v>36</v>
      </c>
      <c r="X22" s="47">
        <v>33</v>
      </c>
      <c r="Y22" s="47">
        <v>29</v>
      </c>
      <c r="Z22" s="47">
        <v>14</v>
      </c>
      <c r="AA22" s="47">
        <v>6</v>
      </c>
      <c r="AB22" s="47">
        <v>12</v>
      </c>
    </row>
    <row r="23" spans="1:28">
      <c r="A23" s="34">
        <v>23</v>
      </c>
      <c r="B23" s="34">
        <v>0</v>
      </c>
      <c r="C23" s="34">
        <v>3</v>
      </c>
      <c r="D23" s="6">
        <v>1</v>
      </c>
      <c r="E23" s="6">
        <v>3</v>
      </c>
      <c r="F23" s="6">
        <v>0</v>
      </c>
      <c r="G23" s="6">
        <v>0</v>
      </c>
      <c r="H23" s="6">
        <v>1</v>
      </c>
      <c r="I23" s="34">
        <v>1</v>
      </c>
      <c r="J23" s="34">
        <v>0</v>
      </c>
      <c r="K23" s="34">
        <v>0</v>
      </c>
      <c r="L23" s="34">
        <v>1</v>
      </c>
      <c r="M23" s="34">
        <v>0</v>
      </c>
      <c r="N23" s="34">
        <v>0</v>
      </c>
      <c r="O23" s="34">
        <v>0</v>
      </c>
      <c r="P23" s="34">
        <v>100000</v>
      </c>
      <c r="Q23" s="34">
        <v>1</v>
      </c>
      <c r="R23" s="34">
        <v>0</v>
      </c>
      <c r="S23" s="34">
        <v>0</v>
      </c>
      <c r="T23" s="5">
        <v>20</v>
      </c>
      <c r="U23" s="5">
        <v>1</v>
      </c>
      <c r="V23" s="5">
        <v>0</v>
      </c>
      <c r="W23" s="38">
        <v>38</v>
      </c>
      <c r="X23" s="47">
        <v>15</v>
      </c>
      <c r="Y23" s="47">
        <v>12</v>
      </c>
      <c r="Z23" s="47">
        <v>11</v>
      </c>
      <c r="AA23" s="47">
        <v>6</v>
      </c>
      <c r="AB23" s="47">
        <v>12</v>
      </c>
    </row>
    <row r="24" spans="1:28">
      <c r="A24" s="34">
        <v>18</v>
      </c>
      <c r="B24" s="34">
        <v>0</v>
      </c>
      <c r="C24" s="34">
        <v>9</v>
      </c>
      <c r="D24" s="6">
        <v>4</v>
      </c>
      <c r="E24" s="6">
        <v>4</v>
      </c>
      <c r="F24" s="6">
        <v>0</v>
      </c>
      <c r="G24" s="6">
        <v>1</v>
      </c>
      <c r="H24" s="6">
        <v>0</v>
      </c>
      <c r="I24" s="34">
        <v>1</v>
      </c>
      <c r="J24" s="34">
        <v>0</v>
      </c>
      <c r="K24" s="34">
        <v>0</v>
      </c>
      <c r="L24" s="34">
        <v>1</v>
      </c>
      <c r="M24" s="34">
        <v>0</v>
      </c>
      <c r="N24" s="34">
        <v>0</v>
      </c>
      <c r="O24" s="34">
        <v>0</v>
      </c>
      <c r="P24" s="34">
        <v>270000</v>
      </c>
      <c r="Q24" s="34">
        <v>1</v>
      </c>
      <c r="R24" s="34">
        <v>0</v>
      </c>
      <c r="S24" s="34">
        <v>0</v>
      </c>
      <c r="T24" s="5">
        <v>21</v>
      </c>
      <c r="U24" s="5">
        <v>0</v>
      </c>
      <c r="V24" s="5">
        <v>1</v>
      </c>
      <c r="W24" s="38">
        <v>57</v>
      </c>
      <c r="X24" s="47">
        <v>36</v>
      </c>
      <c r="Y24" s="47">
        <v>26</v>
      </c>
      <c r="Z24" s="47">
        <v>11</v>
      </c>
      <c r="AA24" s="47">
        <v>7</v>
      </c>
      <c r="AB24" s="47">
        <v>11</v>
      </c>
    </row>
    <row r="25" spans="1:28">
      <c r="A25" s="34">
        <v>42</v>
      </c>
      <c r="B25" s="34">
        <v>1</v>
      </c>
      <c r="C25" s="34">
        <v>19</v>
      </c>
      <c r="D25" s="6">
        <v>5</v>
      </c>
      <c r="E25" s="6">
        <v>4</v>
      </c>
      <c r="F25" s="6">
        <v>0</v>
      </c>
      <c r="G25" s="6">
        <v>1</v>
      </c>
      <c r="H25" s="6">
        <v>0</v>
      </c>
      <c r="I25" s="34">
        <v>1</v>
      </c>
      <c r="J25" s="34">
        <v>0</v>
      </c>
      <c r="K25" s="34">
        <v>0</v>
      </c>
      <c r="L25" s="34">
        <v>2</v>
      </c>
      <c r="M25" s="34">
        <v>1</v>
      </c>
      <c r="N25" s="34">
        <v>0</v>
      </c>
      <c r="O25" s="34">
        <v>0</v>
      </c>
      <c r="P25" s="34">
        <v>1400000</v>
      </c>
      <c r="Q25" s="34">
        <v>1</v>
      </c>
      <c r="R25" s="34">
        <v>0</v>
      </c>
      <c r="S25" s="34">
        <v>0</v>
      </c>
      <c r="T25" s="5">
        <v>22</v>
      </c>
      <c r="U25" s="5">
        <v>0</v>
      </c>
      <c r="V25" s="5">
        <v>1</v>
      </c>
      <c r="W25" s="38">
        <v>53</v>
      </c>
      <c r="X25" s="47">
        <v>32</v>
      </c>
      <c r="Y25" s="47">
        <v>22</v>
      </c>
      <c r="Z25" s="47">
        <v>14</v>
      </c>
      <c r="AA25" s="47">
        <v>8</v>
      </c>
      <c r="AB25" s="47">
        <v>11</v>
      </c>
    </row>
    <row r="26" spans="1:28">
      <c r="A26" s="34">
        <v>73</v>
      </c>
      <c r="B26" s="34">
        <v>1</v>
      </c>
      <c r="C26" s="34">
        <v>0</v>
      </c>
      <c r="D26" s="6">
        <v>3</v>
      </c>
      <c r="E26" s="6">
        <v>1</v>
      </c>
      <c r="F26" s="6">
        <v>1</v>
      </c>
      <c r="G26" s="6">
        <v>0</v>
      </c>
      <c r="H26" s="6">
        <v>0</v>
      </c>
      <c r="I26" s="34">
        <v>1</v>
      </c>
      <c r="J26" s="34">
        <v>0</v>
      </c>
      <c r="K26" s="34">
        <v>0</v>
      </c>
      <c r="L26" s="34">
        <v>3</v>
      </c>
      <c r="M26" s="34">
        <v>1</v>
      </c>
      <c r="N26" s="34">
        <v>0</v>
      </c>
      <c r="O26" s="34">
        <v>0</v>
      </c>
      <c r="P26" s="34">
        <v>38000</v>
      </c>
      <c r="Q26" s="34">
        <v>1</v>
      </c>
      <c r="R26" s="34">
        <v>0</v>
      </c>
      <c r="S26" s="34">
        <v>0</v>
      </c>
      <c r="T26" s="5">
        <v>20</v>
      </c>
      <c r="U26" s="5">
        <v>0</v>
      </c>
      <c r="V26" s="5">
        <v>0</v>
      </c>
      <c r="W26" s="38">
        <v>33</v>
      </c>
      <c r="X26" s="47">
        <v>22</v>
      </c>
      <c r="Y26" s="47">
        <v>16</v>
      </c>
      <c r="Z26" s="47">
        <v>14</v>
      </c>
      <c r="AA26" s="47">
        <v>6</v>
      </c>
      <c r="AB26" s="47">
        <v>10</v>
      </c>
    </row>
    <row r="27" spans="1:28">
      <c r="A27" s="34">
        <v>29</v>
      </c>
      <c r="B27" s="34">
        <v>1</v>
      </c>
      <c r="C27" s="34">
        <v>6</v>
      </c>
      <c r="D27" s="6">
        <v>3</v>
      </c>
      <c r="E27" s="6">
        <v>1</v>
      </c>
      <c r="F27" s="6">
        <v>1</v>
      </c>
      <c r="G27" s="6">
        <v>0</v>
      </c>
      <c r="H27" s="6">
        <v>0</v>
      </c>
      <c r="I27" s="34">
        <v>1</v>
      </c>
      <c r="J27" s="34">
        <v>0</v>
      </c>
      <c r="K27" s="34">
        <v>0</v>
      </c>
      <c r="L27" s="34">
        <v>2</v>
      </c>
      <c r="M27" s="34">
        <v>1</v>
      </c>
      <c r="N27" s="34">
        <v>0</v>
      </c>
      <c r="O27" s="34">
        <v>0</v>
      </c>
      <c r="P27" s="34">
        <v>50000</v>
      </c>
      <c r="Q27" s="34">
        <v>3</v>
      </c>
      <c r="R27" s="34">
        <v>0</v>
      </c>
      <c r="S27" s="34">
        <v>1</v>
      </c>
      <c r="T27" s="5">
        <v>24</v>
      </c>
      <c r="U27" s="5">
        <v>0</v>
      </c>
      <c r="V27" s="5">
        <v>0</v>
      </c>
      <c r="W27" s="38">
        <v>38</v>
      </c>
      <c r="X27" s="47">
        <v>33</v>
      </c>
      <c r="Y27" s="47">
        <v>12</v>
      </c>
      <c r="Z27" s="47">
        <v>17</v>
      </c>
      <c r="AA27" s="47">
        <v>5</v>
      </c>
      <c r="AB27" s="47">
        <v>9</v>
      </c>
    </row>
    <row r="28" spans="1:28">
      <c r="A28" s="34">
        <v>28</v>
      </c>
      <c r="B28" s="34">
        <v>0</v>
      </c>
      <c r="C28" s="34">
        <v>11</v>
      </c>
      <c r="D28" s="6">
        <v>2</v>
      </c>
      <c r="E28" s="6">
        <v>2</v>
      </c>
      <c r="F28" s="6">
        <v>0</v>
      </c>
      <c r="G28" s="6">
        <v>0</v>
      </c>
      <c r="H28" s="6">
        <v>0</v>
      </c>
      <c r="I28" s="34">
        <v>1</v>
      </c>
      <c r="J28" s="34">
        <v>0</v>
      </c>
      <c r="K28" s="34">
        <v>0</v>
      </c>
      <c r="L28" s="34">
        <v>1</v>
      </c>
      <c r="M28" s="34">
        <v>0</v>
      </c>
      <c r="N28" s="34">
        <v>0</v>
      </c>
      <c r="O28" s="34">
        <v>0</v>
      </c>
      <c r="P28" s="34">
        <v>150000</v>
      </c>
      <c r="Q28" s="34">
        <v>1</v>
      </c>
      <c r="R28" s="34">
        <v>0</v>
      </c>
      <c r="S28" s="34">
        <v>0</v>
      </c>
      <c r="T28" s="5">
        <v>26</v>
      </c>
      <c r="U28" s="5">
        <v>0</v>
      </c>
      <c r="V28" s="5">
        <v>0</v>
      </c>
      <c r="W28" s="38">
        <v>56</v>
      </c>
      <c r="X28" s="47">
        <v>35</v>
      </c>
      <c r="Y28" s="47">
        <v>19</v>
      </c>
      <c r="Z28" s="47">
        <v>16</v>
      </c>
      <c r="AA28" s="47">
        <v>8</v>
      </c>
      <c r="AB28" s="47">
        <v>12</v>
      </c>
    </row>
    <row r="29" spans="1:28">
      <c r="A29" s="34">
        <v>28</v>
      </c>
      <c r="B29" s="34">
        <v>0</v>
      </c>
      <c r="C29" s="34">
        <v>5</v>
      </c>
      <c r="D29" s="6">
        <v>1</v>
      </c>
      <c r="E29" s="6">
        <v>3</v>
      </c>
      <c r="F29" s="6">
        <v>0</v>
      </c>
      <c r="G29" s="6">
        <v>0</v>
      </c>
      <c r="H29" s="6">
        <v>1</v>
      </c>
      <c r="I29" s="34">
        <v>1</v>
      </c>
      <c r="J29" s="34">
        <v>0</v>
      </c>
      <c r="K29" s="34">
        <v>0</v>
      </c>
      <c r="L29" s="34">
        <v>2</v>
      </c>
      <c r="M29" s="34">
        <v>1</v>
      </c>
      <c r="N29" s="34">
        <v>0</v>
      </c>
      <c r="O29" s="34">
        <v>0</v>
      </c>
      <c r="P29" s="34">
        <v>150000</v>
      </c>
      <c r="Q29" s="34">
        <v>2</v>
      </c>
      <c r="R29" s="34">
        <v>1</v>
      </c>
      <c r="S29" s="34">
        <v>0</v>
      </c>
      <c r="T29" s="5">
        <v>21</v>
      </c>
      <c r="U29" s="5">
        <v>1</v>
      </c>
      <c r="V29" s="5">
        <v>0</v>
      </c>
      <c r="W29" s="38">
        <v>40</v>
      </c>
      <c r="X29" s="47">
        <v>10</v>
      </c>
      <c r="Y29" s="47">
        <v>9</v>
      </c>
      <c r="Z29" s="47">
        <v>21</v>
      </c>
      <c r="AA29" s="47">
        <v>5</v>
      </c>
      <c r="AB29" s="47">
        <v>10</v>
      </c>
    </row>
    <row r="30" spans="1:28">
      <c r="A30" s="34">
        <v>41</v>
      </c>
      <c r="B30" s="34">
        <v>0</v>
      </c>
      <c r="C30" s="34">
        <v>11</v>
      </c>
      <c r="D30" s="6">
        <v>3</v>
      </c>
      <c r="E30" s="6">
        <v>1</v>
      </c>
      <c r="F30" s="6">
        <v>1</v>
      </c>
      <c r="G30" s="6">
        <v>0</v>
      </c>
      <c r="H30" s="6">
        <v>0</v>
      </c>
      <c r="I30" s="34">
        <v>1</v>
      </c>
      <c r="J30" s="34">
        <v>0</v>
      </c>
      <c r="K30" s="34">
        <v>0</v>
      </c>
      <c r="L30" s="34">
        <v>2</v>
      </c>
      <c r="M30" s="34">
        <v>1</v>
      </c>
      <c r="N30" s="34">
        <v>0</v>
      </c>
      <c r="O30" s="34">
        <v>0</v>
      </c>
      <c r="P30" s="34">
        <v>125000</v>
      </c>
      <c r="Q30" s="34">
        <v>2</v>
      </c>
      <c r="R30" s="34">
        <v>1</v>
      </c>
      <c r="S30" s="34">
        <v>0</v>
      </c>
      <c r="T30" s="5">
        <v>23</v>
      </c>
      <c r="U30" s="5">
        <v>0</v>
      </c>
      <c r="V30" s="5">
        <v>0</v>
      </c>
      <c r="W30" s="38">
        <v>40</v>
      </c>
      <c r="X30" s="47">
        <v>28</v>
      </c>
      <c r="Y30" s="47">
        <v>20</v>
      </c>
      <c r="Z30" s="47">
        <v>9</v>
      </c>
      <c r="AA30" s="47">
        <v>9</v>
      </c>
      <c r="AB30" s="47">
        <v>12</v>
      </c>
    </row>
    <row r="31" spans="1:28">
      <c r="A31" s="34">
        <v>21</v>
      </c>
      <c r="B31" s="34">
        <v>0</v>
      </c>
      <c r="C31" s="34">
        <v>0</v>
      </c>
      <c r="D31" s="6">
        <v>2</v>
      </c>
      <c r="E31" s="6">
        <v>2</v>
      </c>
      <c r="F31" s="6">
        <v>0</v>
      </c>
      <c r="G31" s="6">
        <v>0</v>
      </c>
      <c r="H31" s="6">
        <v>0</v>
      </c>
      <c r="I31" s="34">
        <v>1</v>
      </c>
      <c r="J31" s="34">
        <v>0</v>
      </c>
      <c r="K31" s="34">
        <v>0</v>
      </c>
      <c r="L31" s="34">
        <v>2</v>
      </c>
      <c r="M31" s="34">
        <v>1</v>
      </c>
      <c r="N31" s="34">
        <v>0</v>
      </c>
      <c r="O31" s="34">
        <v>0</v>
      </c>
      <c r="P31" s="34">
        <v>100000</v>
      </c>
      <c r="Q31" s="34">
        <v>1</v>
      </c>
      <c r="R31" s="34">
        <v>0</v>
      </c>
      <c r="S31" s="34">
        <v>0</v>
      </c>
      <c r="T31" s="5">
        <v>24</v>
      </c>
      <c r="U31" s="5">
        <v>0</v>
      </c>
      <c r="V31" s="5">
        <v>0</v>
      </c>
      <c r="W31" s="38">
        <v>27</v>
      </c>
      <c r="X31" s="47">
        <v>15</v>
      </c>
      <c r="Y31" s="47">
        <v>7</v>
      </c>
      <c r="Z31" s="47">
        <v>20</v>
      </c>
      <c r="AA31" s="47">
        <v>5</v>
      </c>
      <c r="AB31" s="47">
        <v>10</v>
      </c>
    </row>
    <row r="32" spans="1:28">
      <c r="A32" s="34">
        <v>36</v>
      </c>
      <c r="B32" s="34">
        <v>1</v>
      </c>
      <c r="C32" s="34">
        <v>3</v>
      </c>
      <c r="D32" s="6">
        <v>6</v>
      </c>
      <c r="E32" s="6">
        <v>4</v>
      </c>
      <c r="F32" s="6">
        <v>0</v>
      </c>
      <c r="G32" s="6">
        <v>1</v>
      </c>
      <c r="H32" s="6">
        <v>0</v>
      </c>
      <c r="I32" s="34">
        <v>1</v>
      </c>
      <c r="J32" s="34">
        <v>0</v>
      </c>
      <c r="K32" s="34">
        <v>0</v>
      </c>
      <c r="L32" s="34">
        <v>2</v>
      </c>
      <c r="M32" s="34">
        <v>1</v>
      </c>
      <c r="N32" s="34">
        <v>0</v>
      </c>
      <c r="O32" s="34">
        <v>0</v>
      </c>
      <c r="P32" s="34">
        <v>400000</v>
      </c>
      <c r="Q32" s="34">
        <v>1</v>
      </c>
      <c r="R32" s="34">
        <v>0</v>
      </c>
      <c r="S32" s="34">
        <v>0</v>
      </c>
      <c r="T32" s="5">
        <v>25</v>
      </c>
      <c r="U32" s="5">
        <v>1</v>
      </c>
      <c r="V32" s="5">
        <v>0</v>
      </c>
      <c r="W32" s="38">
        <v>30</v>
      </c>
      <c r="X32" s="47">
        <v>34</v>
      </c>
      <c r="Y32" s="47">
        <v>27</v>
      </c>
      <c r="Z32" s="47">
        <v>10</v>
      </c>
      <c r="AA32" s="47">
        <v>8</v>
      </c>
      <c r="AB32" s="47">
        <v>12</v>
      </c>
    </row>
    <row r="33" spans="1:28">
      <c r="A33" s="34">
        <v>22</v>
      </c>
      <c r="B33" s="34">
        <v>1</v>
      </c>
      <c r="C33" s="34">
        <v>11</v>
      </c>
      <c r="D33" s="6">
        <v>1</v>
      </c>
      <c r="E33" s="6">
        <v>3</v>
      </c>
      <c r="F33" s="6">
        <v>0</v>
      </c>
      <c r="G33" s="6">
        <v>0</v>
      </c>
      <c r="H33" s="6">
        <v>1</v>
      </c>
      <c r="I33" s="34">
        <v>1</v>
      </c>
      <c r="J33" s="34">
        <v>0</v>
      </c>
      <c r="K33" s="34">
        <v>0</v>
      </c>
      <c r="L33" s="34">
        <v>2</v>
      </c>
      <c r="M33" s="34">
        <v>1</v>
      </c>
      <c r="N33" s="34">
        <v>0</v>
      </c>
      <c r="O33" s="34">
        <v>0</v>
      </c>
      <c r="P33" s="34">
        <v>400000</v>
      </c>
      <c r="Q33" s="34">
        <v>2</v>
      </c>
      <c r="R33" s="34">
        <v>1</v>
      </c>
      <c r="S33" s="34">
        <v>0</v>
      </c>
      <c r="T33" s="5">
        <v>22</v>
      </c>
      <c r="U33" s="5">
        <v>0</v>
      </c>
      <c r="V33" s="5">
        <v>0</v>
      </c>
      <c r="W33" s="38">
        <v>55</v>
      </c>
      <c r="X33" s="47">
        <v>35</v>
      </c>
      <c r="Y33" s="47">
        <v>32</v>
      </c>
      <c r="Z33" s="47">
        <v>20</v>
      </c>
      <c r="AA33" s="47">
        <v>8</v>
      </c>
      <c r="AB33" s="47">
        <v>11</v>
      </c>
    </row>
    <row r="34" spans="1:28">
      <c r="A34" s="34">
        <v>30</v>
      </c>
      <c r="B34" s="34">
        <v>1</v>
      </c>
      <c r="C34" s="34">
        <v>6</v>
      </c>
      <c r="D34" s="6">
        <v>7</v>
      </c>
      <c r="E34" s="6">
        <v>3</v>
      </c>
      <c r="F34" s="6">
        <v>0</v>
      </c>
      <c r="G34" s="6">
        <v>0</v>
      </c>
      <c r="H34" s="6">
        <v>1</v>
      </c>
      <c r="I34" s="34">
        <v>1</v>
      </c>
      <c r="J34" s="34">
        <v>0</v>
      </c>
      <c r="K34" s="34">
        <v>0</v>
      </c>
      <c r="L34" s="34">
        <v>1</v>
      </c>
      <c r="M34" s="34">
        <v>0</v>
      </c>
      <c r="N34" s="34">
        <v>0</v>
      </c>
      <c r="O34" s="34">
        <v>0</v>
      </c>
      <c r="P34" s="34">
        <v>500000</v>
      </c>
      <c r="Q34" s="34">
        <v>3</v>
      </c>
      <c r="R34" s="34">
        <v>0</v>
      </c>
      <c r="S34" s="34">
        <v>1</v>
      </c>
      <c r="T34" s="5">
        <v>21</v>
      </c>
      <c r="U34" s="5">
        <v>0</v>
      </c>
      <c r="V34" s="5">
        <v>0</v>
      </c>
      <c r="W34" s="38">
        <v>43</v>
      </c>
      <c r="X34" s="47">
        <v>22</v>
      </c>
      <c r="Y34" s="47">
        <v>12</v>
      </c>
      <c r="Z34" s="47">
        <v>11</v>
      </c>
      <c r="AA34" s="47">
        <v>5</v>
      </c>
      <c r="AB34" s="47">
        <v>9</v>
      </c>
    </row>
    <row r="35" spans="1:28">
      <c r="A35" s="34">
        <v>35</v>
      </c>
      <c r="B35" s="34">
        <v>1</v>
      </c>
      <c r="C35" s="34">
        <v>4</v>
      </c>
      <c r="D35" s="6">
        <v>3</v>
      </c>
      <c r="E35" s="6">
        <v>1</v>
      </c>
      <c r="F35" s="6">
        <v>1</v>
      </c>
      <c r="G35" s="6">
        <v>0</v>
      </c>
      <c r="H35" s="6">
        <v>0</v>
      </c>
      <c r="I35" s="34">
        <v>1</v>
      </c>
      <c r="J35" s="34">
        <v>0</v>
      </c>
      <c r="K35" s="34">
        <v>0</v>
      </c>
      <c r="L35" s="34">
        <v>2</v>
      </c>
      <c r="M35" s="34">
        <v>1</v>
      </c>
      <c r="N35" s="34">
        <v>0</v>
      </c>
      <c r="O35" s="34">
        <v>0</v>
      </c>
      <c r="P35" s="34">
        <v>100000</v>
      </c>
      <c r="Q35" s="34">
        <v>1</v>
      </c>
      <c r="R35" s="34">
        <v>0</v>
      </c>
      <c r="S35" s="34">
        <v>0</v>
      </c>
      <c r="T35" s="5">
        <v>25</v>
      </c>
      <c r="U35" s="5">
        <v>1</v>
      </c>
      <c r="V35" s="5">
        <v>0</v>
      </c>
      <c r="W35" s="38">
        <v>36</v>
      </c>
      <c r="X35" s="47">
        <v>32</v>
      </c>
      <c r="Y35" s="47">
        <v>28</v>
      </c>
      <c r="Z35" s="47">
        <v>14</v>
      </c>
      <c r="AA35" s="47">
        <v>6</v>
      </c>
      <c r="AB35" s="47">
        <v>9</v>
      </c>
    </row>
    <row r="36" spans="1:28">
      <c r="A36" s="34">
        <v>35</v>
      </c>
      <c r="B36" s="34">
        <v>0</v>
      </c>
      <c r="C36" s="34">
        <v>7</v>
      </c>
      <c r="D36" s="6">
        <v>1</v>
      </c>
      <c r="E36" s="6">
        <v>3</v>
      </c>
      <c r="F36" s="6">
        <v>0</v>
      </c>
      <c r="G36" s="6">
        <v>0</v>
      </c>
      <c r="H36" s="6">
        <v>1</v>
      </c>
      <c r="I36" s="34">
        <v>1</v>
      </c>
      <c r="J36" s="34">
        <v>0</v>
      </c>
      <c r="K36" s="34">
        <v>0</v>
      </c>
      <c r="L36" s="34">
        <v>2</v>
      </c>
      <c r="M36" s="34">
        <v>1</v>
      </c>
      <c r="N36" s="34">
        <v>0</v>
      </c>
      <c r="O36" s="34">
        <v>0</v>
      </c>
      <c r="P36" s="34">
        <v>200000</v>
      </c>
      <c r="Q36" s="34">
        <v>1</v>
      </c>
      <c r="R36" s="34">
        <v>0</v>
      </c>
      <c r="S36" s="34">
        <v>0</v>
      </c>
      <c r="T36" s="5">
        <v>22</v>
      </c>
      <c r="U36" s="5">
        <v>0</v>
      </c>
      <c r="V36" s="5">
        <v>0</v>
      </c>
      <c r="W36" s="38">
        <v>34</v>
      </c>
      <c r="X36" s="47">
        <v>28</v>
      </c>
      <c r="Y36" s="47">
        <v>18</v>
      </c>
      <c r="Z36" s="47">
        <v>16</v>
      </c>
      <c r="AA36" s="47">
        <v>8</v>
      </c>
      <c r="AB36" s="47">
        <v>10</v>
      </c>
    </row>
    <row r="37" spans="1:28">
      <c r="A37" s="34">
        <v>36</v>
      </c>
      <c r="B37" s="34">
        <v>1</v>
      </c>
      <c r="C37" s="34">
        <v>9</v>
      </c>
      <c r="D37" s="6">
        <v>3</v>
      </c>
      <c r="E37" s="6">
        <v>1</v>
      </c>
      <c r="F37" s="6">
        <v>1</v>
      </c>
      <c r="G37" s="6">
        <v>0</v>
      </c>
      <c r="H37" s="6">
        <v>0</v>
      </c>
      <c r="I37" s="34">
        <v>1</v>
      </c>
      <c r="J37" s="34">
        <v>0</v>
      </c>
      <c r="K37" s="34">
        <v>0</v>
      </c>
      <c r="L37" s="34">
        <v>2</v>
      </c>
      <c r="M37" s="34">
        <v>1</v>
      </c>
      <c r="N37" s="34">
        <v>0</v>
      </c>
      <c r="O37" s="34">
        <v>0</v>
      </c>
      <c r="P37" s="34">
        <v>250000</v>
      </c>
      <c r="Q37" s="34">
        <v>1</v>
      </c>
      <c r="R37" s="34">
        <v>0</v>
      </c>
      <c r="S37" s="34">
        <v>0</v>
      </c>
      <c r="T37" s="5">
        <v>24</v>
      </c>
      <c r="U37" s="5">
        <v>0</v>
      </c>
      <c r="V37" s="5">
        <v>0</v>
      </c>
      <c r="W37" s="38">
        <v>16</v>
      </c>
      <c r="X37" s="47">
        <v>28</v>
      </c>
      <c r="Y37" s="47">
        <v>20</v>
      </c>
      <c r="Z37" s="47">
        <v>17</v>
      </c>
      <c r="AA37" s="47">
        <v>9</v>
      </c>
      <c r="AB37" s="47">
        <v>12</v>
      </c>
    </row>
    <row r="38" spans="1:28">
      <c r="A38" s="34">
        <v>31</v>
      </c>
      <c r="B38" s="34">
        <v>0</v>
      </c>
      <c r="C38" s="34">
        <v>2</v>
      </c>
      <c r="D38" s="6">
        <v>1</v>
      </c>
      <c r="E38" s="6">
        <v>3</v>
      </c>
      <c r="F38" s="6">
        <v>0</v>
      </c>
      <c r="G38" s="6">
        <v>0</v>
      </c>
      <c r="H38" s="6">
        <v>1</v>
      </c>
      <c r="I38" s="34">
        <v>1</v>
      </c>
      <c r="J38" s="34">
        <v>0</v>
      </c>
      <c r="K38" s="34">
        <v>0</v>
      </c>
      <c r="L38" s="34">
        <v>2</v>
      </c>
      <c r="M38" s="34">
        <v>1</v>
      </c>
      <c r="N38" s="34">
        <v>0</v>
      </c>
      <c r="O38" s="34">
        <v>0</v>
      </c>
      <c r="P38" s="34">
        <v>100000</v>
      </c>
      <c r="Q38" s="34">
        <v>1</v>
      </c>
      <c r="R38" s="34">
        <v>0</v>
      </c>
      <c r="S38" s="34">
        <v>0</v>
      </c>
      <c r="T38" s="5">
        <v>25</v>
      </c>
      <c r="U38" s="5">
        <v>1</v>
      </c>
      <c r="V38" s="5">
        <v>0</v>
      </c>
      <c r="W38" s="38">
        <v>35</v>
      </c>
      <c r="X38" s="47">
        <v>28</v>
      </c>
      <c r="Y38" s="47">
        <v>22</v>
      </c>
      <c r="Z38" s="47">
        <v>16</v>
      </c>
      <c r="AA38" s="47">
        <v>7</v>
      </c>
      <c r="AB38" s="47">
        <v>12</v>
      </c>
    </row>
    <row r="39" spans="1:28">
      <c r="A39" s="34">
        <v>66</v>
      </c>
      <c r="B39" s="34">
        <v>1</v>
      </c>
      <c r="C39" s="34">
        <v>0</v>
      </c>
      <c r="D39" s="6">
        <v>1</v>
      </c>
      <c r="E39" s="6">
        <v>3</v>
      </c>
      <c r="F39" s="6">
        <v>0</v>
      </c>
      <c r="G39" s="6">
        <v>0</v>
      </c>
      <c r="H39" s="6">
        <v>1</v>
      </c>
      <c r="I39" s="34">
        <v>1</v>
      </c>
      <c r="J39" s="34">
        <v>0</v>
      </c>
      <c r="K39" s="34">
        <v>0</v>
      </c>
      <c r="L39" s="34">
        <v>4</v>
      </c>
      <c r="M39" s="34">
        <v>0</v>
      </c>
      <c r="N39" s="34">
        <v>1</v>
      </c>
      <c r="O39" s="34">
        <v>0</v>
      </c>
      <c r="P39" s="34">
        <v>200000</v>
      </c>
      <c r="Q39" s="34">
        <v>1</v>
      </c>
      <c r="R39" s="34">
        <v>0</v>
      </c>
      <c r="S39" s="34">
        <v>0</v>
      </c>
      <c r="T39" s="5">
        <v>26</v>
      </c>
      <c r="U39" s="5">
        <v>0</v>
      </c>
      <c r="V39" s="5">
        <v>0</v>
      </c>
      <c r="W39" s="38">
        <v>25</v>
      </c>
      <c r="X39" s="47">
        <v>18</v>
      </c>
      <c r="Y39" s="47">
        <v>12</v>
      </c>
      <c r="Z39" s="47">
        <v>10</v>
      </c>
      <c r="AA39" s="47">
        <v>7</v>
      </c>
      <c r="AB39" s="47">
        <v>12</v>
      </c>
    </row>
    <row r="40" spans="1:28">
      <c r="A40" s="34">
        <v>19</v>
      </c>
      <c r="B40" s="34">
        <v>0</v>
      </c>
      <c r="C40" s="34">
        <v>9</v>
      </c>
      <c r="D40" s="6">
        <v>1</v>
      </c>
      <c r="E40" s="6">
        <v>3</v>
      </c>
      <c r="F40" s="6">
        <v>0</v>
      </c>
      <c r="G40" s="6">
        <v>0</v>
      </c>
      <c r="H40" s="6">
        <v>1</v>
      </c>
      <c r="I40" s="34">
        <v>1</v>
      </c>
      <c r="J40" s="34">
        <v>0</v>
      </c>
      <c r="K40" s="34">
        <v>0</v>
      </c>
      <c r="L40" s="34">
        <v>2</v>
      </c>
      <c r="M40" s="34">
        <v>1</v>
      </c>
      <c r="N40" s="34">
        <v>0</v>
      </c>
      <c r="O40" s="34">
        <v>0</v>
      </c>
      <c r="P40" s="34">
        <v>300000</v>
      </c>
      <c r="Q40" s="34">
        <v>2</v>
      </c>
      <c r="R40" s="34">
        <v>1</v>
      </c>
      <c r="S40" s="34">
        <v>0</v>
      </c>
      <c r="T40" s="5">
        <v>24</v>
      </c>
      <c r="U40" s="5">
        <v>0</v>
      </c>
      <c r="V40" s="5">
        <v>0</v>
      </c>
      <c r="W40" s="38">
        <v>53</v>
      </c>
      <c r="X40" s="47">
        <v>23</v>
      </c>
      <c r="Y40" s="47">
        <v>10</v>
      </c>
      <c r="Z40" s="47">
        <v>19</v>
      </c>
      <c r="AA40" s="47">
        <v>9</v>
      </c>
      <c r="AB40" s="47">
        <v>12</v>
      </c>
    </row>
    <row r="41" spans="1:28">
      <c r="A41" s="34">
        <v>24</v>
      </c>
      <c r="B41" s="34">
        <v>1</v>
      </c>
      <c r="C41" s="34">
        <v>12</v>
      </c>
      <c r="D41" s="6">
        <v>8</v>
      </c>
      <c r="E41" s="6">
        <v>4</v>
      </c>
      <c r="F41" s="6">
        <v>0</v>
      </c>
      <c r="G41" s="6">
        <v>1</v>
      </c>
      <c r="H41" s="6">
        <v>0</v>
      </c>
      <c r="I41" s="34">
        <v>1</v>
      </c>
      <c r="J41" s="34">
        <v>0</v>
      </c>
      <c r="K41" s="34">
        <v>0</v>
      </c>
      <c r="L41" s="34">
        <v>1</v>
      </c>
      <c r="M41" s="34">
        <v>0</v>
      </c>
      <c r="N41" s="34">
        <v>0</v>
      </c>
      <c r="O41" s="34">
        <v>0</v>
      </c>
      <c r="P41" s="34">
        <v>400000</v>
      </c>
      <c r="Q41" s="34">
        <v>2</v>
      </c>
      <c r="R41" s="34">
        <v>1</v>
      </c>
      <c r="S41" s="34">
        <v>0</v>
      </c>
      <c r="T41" s="5">
        <v>27</v>
      </c>
      <c r="U41" s="5">
        <v>0</v>
      </c>
      <c r="V41" s="5">
        <v>0</v>
      </c>
      <c r="W41" s="38">
        <v>45</v>
      </c>
      <c r="X41" s="47">
        <v>27</v>
      </c>
      <c r="Y41" s="47">
        <v>24</v>
      </c>
      <c r="Z41" s="47">
        <v>26</v>
      </c>
      <c r="AA41" s="47">
        <v>10</v>
      </c>
      <c r="AB41" s="47">
        <v>12</v>
      </c>
    </row>
    <row r="42" spans="1:28">
      <c r="A42" s="34">
        <v>64</v>
      </c>
      <c r="B42" s="34">
        <v>0</v>
      </c>
      <c r="C42" s="34">
        <v>0</v>
      </c>
      <c r="D42" s="6">
        <v>1</v>
      </c>
      <c r="E42" s="6">
        <v>3</v>
      </c>
      <c r="F42" s="6">
        <v>0</v>
      </c>
      <c r="G42" s="6">
        <v>0</v>
      </c>
      <c r="H42" s="6">
        <v>1</v>
      </c>
      <c r="I42" s="34">
        <v>1</v>
      </c>
      <c r="J42" s="34">
        <v>0</v>
      </c>
      <c r="K42" s="34">
        <v>0</v>
      </c>
      <c r="L42" s="34">
        <v>1</v>
      </c>
      <c r="M42" s="34">
        <v>0</v>
      </c>
      <c r="N42" s="34">
        <v>0</v>
      </c>
      <c r="O42" s="34">
        <v>0</v>
      </c>
      <c r="P42" s="34">
        <v>200000</v>
      </c>
      <c r="Q42" s="34">
        <v>2</v>
      </c>
      <c r="R42" s="34">
        <v>1</v>
      </c>
      <c r="S42" s="34">
        <v>0</v>
      </c>
      <c r="T42" s="5">
        <v>27</v>
      </c>
      <c r="U42" s="5">
        <v>0</v>
      </c>
      <c r="V42" s="5">
        <v>0</v>
      </c>
      <c r="W42" s="38">
        <v>39</v>
      </c>
      <c r="X42" s="47">
        <v>17</v>
      </c>
      <c r="Y42" s="47">
        <v>12</v>
      </c>
      <c r="Z42" s="47">
        <v>12</v>
      </c>
      <c r="AA42" s="47">
        <v>7</v>
      </c>
      <c r="AB42" s="47">
        <v>12</v>
      </c>
    </row>
    <row r="43" spans="1:28">
      <c r="A43" s="34">
        <v>19</v>
      </c>
      <c r="B43" s="34">
        <v>1</v>
      </c>
      <c r="C43" s="34">
        <v>9</v>
      </c>
      <c r="D43" s="6">
        <v>3</v>
      </c>
      <c r="E43" s="6">
        <v>1</v>
      </c>
      <c r="F43" s="6">
        <v>1</v>
      </c>
      <c r="G43" s="6">
        <v>0</v>
      </c>
      <c r="H43" s="6">
        <v>0</v>
      </c>
      <c r="I43" s="34">
        <v>1</v>
      </c>
      <c r="J43" s="34">
        <v>0</v>
      </c>
      <c r="K43" s="34">
        <v>0</v>
      </c>
      <c r="L43" s="34">
        <v>1</v>
      </c>
      <c r="M43" s="34">
        <v>0</v>
      </c>
      <c r="N43" s="34">
        <v>0</v>
      </c>
      <c r="O43" s="34">
        <v>0</v>
      </c>
      <c r="P43" s="34">
        <v>200000</v>
      </c>
      <c r="Q43" s="34">
        <v>1</v>
      </c>
      <c r="R43" s="34">
        <v>0</v>
      </c>
      <c r="S43" s="34">
        <v>0</v>
      </c>
      <c r="T43" s="5">
        <v>21</v>
      </c>
      <c r="U43" s="5">
        <v>0</v>
      </c>
      <c r="V43" s="5">
        <v>1</v>
      </c>
      <c r="W43" s="38">
        <v>52</v>
      </c>
      <c r="X43" s="47">
        <v>27</v>
      </c>
      <c r="Y43" s="47">
        <v>26</v>
      </c>
      <c r="Z43" s="47">
        <v>19</v>
      </c>
      <c r="AA43" s="47">
        <v>6</v>
      </c>
      <c r="AB43" s="47">
        <v>9</v>
      </c>
    </row>
    <row r="44" spans="1:28">
      <c r="A44" s="34">
        <v>33</v>
      </c>
      <c r="B44" s="34">
        <v>1</v>
      </c>
      <c r="C44" s="34">
        <v>5</v>
      </c>
      <c r="D44" s="6">
        <v>3</v>
      </c>
      <c r="E44" s="6">
        <v>1</v>
      </c>
      <c r="F44" s="6">
        <v>1</v>
      </c>
      <c r="G44" s="6">
        <v>0</v>
      </c>
      <c r="H44" s="6">
        <v>0</v>
      </c>
      <c r="I44" s="34">
        <v>1</v>
      </c>
      <c r="J44" s="34">
        <v>0</v>
      </c>
      <c r="K44" s="34">
        <v>0</v>
      </c>
      <c r="L44" s="34">
        <v>1</v>
      </c>
      <c r="M44" s="34">
        <v>0</v>
      </c>
      <c r="N44" s="34">
        <v>0</v>
      </c>
      <c r="O44" s="34">
        <v>0</v>
      </c>
      <c r="P44" s="34">
        <v>80000</v>
      </c>
      <c r="Q44" s="34">
        <v>1</v>
      </c>
      <c r="R44" s="34">
        <v>0</v>
      </c>
      <c r="S44" s="34">
        <v>0</v>
      </c>
      <c r="T44" s="5">
        <v>28</v>
      </c>
      <c r="U44" s="5">
        <v>1</v>
      </c>
      <c r="V44" s="5">
        <v>0</v>
      </c>
      <c r="W44" s="38">
        <v>36</v>
      </c>
      <c r="X44" s="47">
        <v>23</v>
      </c>
      <c r="Y44" s="47">
        <v>12</v>
      </c>
      <c r="Z44" s="47">
        <v>17</v>
      </c>
      <c r="AA44" s="47">
        <v>6</v>
      </c>
      <c r="AB44" s="47">
        <v>12</v>
      </c>
    </row>
    <row r="45" spans="1:28">
      <c r="A45" s="34">
        <v>35</v>
      </c>
      <c r="B45" s="34">
        <v>0</v>
      </c>
      <c r="C45" s="34">
        <v>9</v>
      </c>
      <c r="D45" s="6">
        <v>2</v>
      </c>
      <c r="E45" s="6">
        <v>2</v>
      </c>
      <c r="F45" s="6">
        <v>0</v>
      </c>
      <c r="G45" s="6">
        <v>0</v>
      </c>
      <c r="H45" s="6">
        <v>0</v>
      </c>
      <c r="I45" s="34">
        <v>1</v>
      </c>
      <c r="J45" s="34">
        <v>0</v>
      </c>
      <c r="K45" s="34">
        <v>0</v>
      </c>
      <c r="L45" s="34">
        <v>2</v>
      </c>
      <c r="M45" s="34">
        <v>1</v>
      </c>
      <c r="N45" s="34">
        <v>0</v>
      </c>
      <c r="O45" s="34">
        <v>0</v>
      </c>
      <c r="P45" s="34">
        <v>200000</v>
      </c>
      <c r="Q45" s="34">
        <v>1</v>
      </c>
      <c r="R45" s="34">
        <v>0</v>
      </c>
      <c r="S45" s="34">
        <v>0</v>
      </c>
      <c r="T45" s="5">
        <v>25</v>
      </c>
      <c r="U45" s="5">
        <v>0</v>
      </c>
      <c r="V45" s="5">
        <v>0</v>
      </c>
      <c r="W45" s="38">
        <v>41</v>
      </c>
      <c r="X45" s="47">
        <v>14</v>
      </c>
      <c r="Y45" s="47">
        <v>10</v>
      </c>
      <c r="Z45" s="47">
        <v>14</v>
      </c>
      <c r="AA45" s="47">
        <v>6</v>
      </c>
      <c r="AB45" s="47">
        <v>12</v>
      </c>
    </row>
    <row r="46" spans="1:28">
      <c r="A46" s="34">
        <v>36</v>
      </c>
      <c r="B46" s="34">
        <v>0</v>
      </c>
      <c r="C46" s="34">
        <v>2</v>
      </c>
      <c r="D46" s="6">
        <v>2</v>
      </c>
      <c r="E46" s="6">
        <v>2</v>
      </c>
      <c r="F46" s="6">
        <v>0</v>
      </c>
      <c r="G46" s="6">
        <v>0</v>
      </c>
      <c r="H46" s="6">
        <v>0</v>
      </c>
      <c r="I46" s="34">
        <v>1</v>
      </c>
      <c r="J46" s="34">
        <v>0</v>
      </c>
      <c r="K46" s="34">
        <v>0</v>
      </c>
      <c r="L46" s="34">
        <v>2</v>
      </c>
      <c r="M46" s="34">
        <v>1</v>
      </c>
      <c r="N46" s="34">
        <v>0</v>
      </c>
      <c r="O46" s="34">
        <v>0</v>
      </c>
      <c r="P46" s="34">
        <v>200000</v>
      </c>
      <c r="Q46" s="34">
        <v>2</v>
      </c>
      <c r="R46" s="34">
        <v>1</v>
      </c>
      <c r="S46" s="34">
        <v>0</v>
      </c>
      <c r="T46" s="5">
        <v>25</v>
      </c>
      <c r="U46" s="5">
        <v>1</v>
      </c>
      <c r="V46" s="5">
        <v>0</v>
      </c>
      <c r="W46" s="38">
        <v>46</v>
      </c>
      <c r="X46" s="47">
        <v>17</v>
      </c>
      <c r="Y46" s="47">
        <v>12</v>
      </c>
      <c r="Z46" s="47">
        <v>12</v>
      </c>
      <c r="AA46" s="47">
        <v>4</v>
      </c>
      <c r="AB46" s="47">
        <v>12</v>
      </c>
    </row>
    <row r="47" spans="1:28">
      <c r="A47" s="34">
        <v>28</v>
      </c>
      <c r="B47" s="34">
        <v>1</v>
      </c>
      <c r="C47" s="34">
        <v>8</v>
      </c>
      <c r="D47" s="6">
        <v>1</v>
      </c>
      <c r="E47" s="6">
        <v>3</v>
      </c>
      <c r="F47" s="6">
        <v>0</v>
      </c>
      <c r="G47" s="6">
        <v>0</v>
      </c>
      <c r="H47" s="6">
        <v>1</v>
      </c>
      <c r="I47" s="34">
        <v>3</v>
      </c>
      <c r="J47" s="34">
        <v>0</v>
      </c>
      <c r="K47" s="34">
        <v>1</v>
      </c>
      <c r="L47" s="34">
        <v>2</v>
      </c>
      <c r="M47" s="34">
        <v>1</v>
      </c>
      <c r="N47" s="34">
        <v>0</v>
      </c>
      <c r="O47" s="34">
        <v>0</v>
      </c>
      <c r="P47" s="34">
        <v>600000</v>
      </c>
      <c r="Q47" s="34">
        <v>2</v>
      </c>
      <c r="R47" s="34">
        <v>1</v>
      </c>
      <c r="S47" s="34">
        <v>0</v>
      </c>
      <c r="T47" s="5">
        <v>28</v>
      </c>
      <c r="U47" s="5">
        <v>0</v>
      </c>
      <c r="V47" s="5">
        <v>0</v>
      </c>
      <c r="W47" s="38">
        <v>44</v>
      </c>
      <c r="X47" s="47">
        <v>20</v>
      </c>
      <c r="Y47" s="47">
        <v>9</v>
      </c>
      <c r="Z47" s="47">
        <v>13</v>
      </c>
      <c r="AA47" s="47">
        <v>8</v>
      </c>
      <c r="AB47" s="47">
        <v>12</v>
      </c>
    </row>
    <row r="48" spans="1:28">
      <c r="A48" s="34">
        <v>30</v>
      </c>
      <c r="B48" s="34">
        <v>0</v>
      </c>
      <c r="C48" s="34">
        <v>3</v>
      </c>
      <c r="D48" s="6">
        <v>2</v>
      </c>
      <c r="E48" s="6">
        <v>2</v>
      </c>
      <c r="F48" s="6">
        <v>0</v>
      </c>
      <c r="G48" s="6">
        <v>0</v>
      </c>
      <c r="H48" s="6">
        <v>0</v>
      </c>
      <c r="I48" s="34">
        <v>1</v>
      </c>
      <c r="J48" s="34">
        <v>0</v>
      </c>
      <c r="K48" s="34">
        <v>0</v>
      </c>
      <c r="L48" s="34">
        <v>2</v>
      </c>
      <c r="M48" s="34">
        <v>1</v>
      </c>
      <c r="N48" s="34">
        <v>0</v>
      </c>
      <c r="O48" s="34">
        <v>0</v>
      </c>
      <c r="P48" s="34">
        <v>150000</v>
      </c>
      <c r="Q48" s="34">
        <v>2</v>
      </c>
      <c r="R48" s="34">
        <v>1</v>
      </c>
      <c r="S48" s="34">
        <v>0</v>
      </c>
      <c r="T48" s="5">
        <v>26</v>
      </c>
      <c r="U48" s="5">
        <v>1</v>
      </c>
      <c r="V48" s="5">
        <v>0</v>
      </c>
      <c r="W48" s="38">
        <v>47</v>
      </c>
      <c r="X48" s="47">
        <v>21</v>
      </c>
      <c r="Y48" s="47">
        <v>11</v>
      </c>
      <c r="Z48" s="47">
        <v>16</v>
      </c>
      <c r="AA48" s="47">
        <v>10</v>
      </c>
      <c r="AB48" s="47">
        <v>12</v>
      </c>
    </row>
    <row r="49" spans="1:28">
      <c r="A49" s="34">
        <v>18</v>
      </c>
      <c r="B49" s="34">
        <v>0</v>
      </c>
      <c r="C49" s="34">
        <v>12</v>
      </c>
      <c r="D49" s="6">
        <v>2</v>
      </c>
      <c r="E49" s="6">
        <v>2</v>
      </c>
      <c r="F49" s="6">
        <v>0</v>
      </c>
      <c r="G49" s="6">
        <v>0</v>
      </c>
      <c r="H49" s="6">
        <v>0</v>
      </c>
      <c r="I49" s="34">
        <v>1</v>
      </c>
      <c r="J49" s="34">
        <v>0</v>
      </c>
      <c r="K49" s="34">
        <v>0</v>
      </c>
      <c r="L49" s="34">
        <v>1</v>
      </c>
      <c r="M49" s="34">
        <v>0</v>
      </c>
      <c r="N49" s="34">
        <v>0</v>
      </c>
      <c r="O49" s="34">
        <v>0</v>
      </c>
      <c r="P49" s="34">
        <v>500000</v>
      </c>
      <c r="Q49" s="34">
        <v>1</v>
      </c>
      <c r="R49" s="34">
        <v>0</v>
      </c>
      <c r="S49" s="34">
        <v>0</v>
      </c>
      <c r="T49" s="5">
        <v>24</v>
      </c>
      <c r="U49" s="5">
        <v>0</v>
      </c>
      <c r="V49" s="5">
        <v>1</v>
      </c>
      <c r="W49" s="38">
        <v>49</v>
      </c>
      <c r="X49" s="47">
        <v>21</v>
      </c>
      <c r="Y49" s="47">
        <v>14</v>
      </c>
      <c r="Z49" s="47">
        <v>13</v>
      </c>
      <c r="AA49" s="47">
        <v>4</v>
      </c>
      <c r="AB49" s="47">
        <v>11</v>
      </c>
    </row>
    <row r="50" spans="1:28">
      <c r="A50" s="34">
        <v>41</v>
      </c>
      <c r="B50" s="34">
        <v>0</v>
      </c>
      <c r="C50" s="34">
        <v>4</v>
      </c>
      <c r="D50" s="6">
        <v>1</v>
      </c>
      <c r="E50" s="6">
        <v>3</v>
      </c>
      <c r="F50" s="6">
        <v>0</v>
      </c>
      <c r="G50" s="6">
        <v>0</v>
      </c>
      <c r="H50" s="6">
        <v>1</v>
      </c>
      <c r="I50" s="34">
        <v>1</v>
      </c>
      <c r="J50" s="34">
        <v>0</v>
      </c>
      <c r="K50" s="34">
        <v>0</v>
      </c>
      <c r="L50" s="34">
        <v>2</v>
      </c>
      <c r="M50" s="34">
        <v>1</v>
      </c>
      <c r="N50" s="34">
        <v>0</v>
      </c>
      <c r="O50" s="34">
        <v>0</v>
      </c>
      <c r="P50" s="34">
        <v>50000</v>
      </c>
      <c r="Q50" s="34">
        <v>2</v>
      </c>
      <c r="R50" s="34">
        <v>1</v>
      </c>
      <c r="S50" s="34">
        <v>0</v>
      </c>
      <c r="T50" s="5">
        <v>23</v>
      </c>
      <c r="U50" s="5">
        <v>1</v>
      </c>
      <c r="V50" s="5">
        <v>0</v>
      </c>
      <c r="W50" s="38">
        <v>44</v>
      </c>
      <c r="X50" s="47">
        <v>18</v>
      </c>
      <c r="Y50" s="47">
        <v>14</v>
      </c>
      <c r="Z50" s="47">
        <v>8</v>
      </c>
      <c r="AA50" s="47">
        <v>4</v>
      </c>
      <c r="AB50" s="47">
        <v>6</v>
      </c>
    </row>
    <row r="51" spans="1:28">
      <c r="A51" s="34">
        <v>34</v>
      </c>
      <c r="B51" s="34">
        <v>1</v>
      </c>
      <c r="C51" s="34">
        <v>11</v>
      </c>
      <c r="D51" s="6">
        <v>3</v>
      </c>
      <c r="E51" s="6">
        <v>1</v>
      </c>
      <c r="F51" s="6">
        <v>1</v>
      </c>
      <c r="G51" s="6">
        <v>0</v>
      </c>
      <c r="H51" s="6">
        <v>0</v>
      </c>
      <c r="I51" s="34">
        <v>1</v>
      </c>
      <c r="J51" s="34">
        <v>0</v>
      </c>
      <c r="K51" s="34">
        <v>0</v>
      </c>
      <c r="L51" s="34">
        <v>2</v>
      </c>
      <c r="M51" s="34">
        <v>1</v>
      </c>
      <c r="N51" s="34">
        <v>0</v>
      </c>
      <c r="O51" s="34">
        <v>0</v>
      </c>
      <c r="P51" s="34">
        <v>120000</v>
      </c>
      <c r="Q51" s="34">
        <v>1</v>
      </c>
      <c r="R51" s="34">
        <v>0</v>
      </c>
      <c r="S51" s="34">
        <v>0</v>
      </c>
      <c r="T51" s="5">
        <v>22</v>
      </c>
      <c r="U51" s="5">
        <v>0</v>
      </c>
      <c r="V51" s="5">
        <v>0</v>
      </c>
      <c r="W51" s="38">
        <v>44</v>
      </c>
      <c r="X51" s="47">
        <v>34</v>
      </c>
      <c r="Y51" s="47">
        <v>32</v>
      </c>
      <c r="Z51" s="47">
        <v>24</v>
      </c>
      <c r="AA51" s="47">
        <v>12</v>
      </c>
      <c r="AB51" s="47">
        <v>12</v>
      </c>
    </row>
    <row r="52" spans="1:28">
      <c r="A52" s="34">
        <v>28</v>
      </c>
      <c r="B52" s="34">
        <v>1</v>
      </c>
      <c r="C52" s="34">
        <v>11</v>
      </c>
      <c r="D52" s="6">
        <v>1</v>
      </c>
      <c r="E52" s="6">
        <v>3</v>
      </c>
      <c r="F52" s="6">
        <v>0</v>
      </c>
      <c r="G52" s="6">
        <v>0</v>
      </c>
      <c r="H52" s="6">
        <v>1</v>
      </c>
      <c r="I52" s="34">
        <v>1</v>
      </c>
      <c r="J52" s="34">
        <v>0</v>
      </c>
      <c r="K52" s="34">
        <v>0</v>
      </c>
      <c r="L52" s="34">
        <v>2</v>
      </c>
      <c r="M52" s="34">
        <v>1</v>
      </c>
      <c r="N52" s="34">
        <v>0</v>
      </c>
      <c r="O52" s="34">
        <v>0</v>
      </c>
      <c r="P52" s="34">
        <v>180000</v>
      </c>
      <c r="Q52" s="34">
        <v>1</v>
      </c>
      <c r="R52" s="34">
        <v>0</v>
      </c>
      <c r="S52" s="34">
        <v>0</v>
      </c>
      <c r="T52" s="5">
        <v>25</v>
      </c>
      <c r="U52" s="5">
        <v>0</v>
      </c>
      <c r="V52" s="5">
        <v>0</v>
      </c>
      <c r="W52" s="38">
        <v>49</v>
      </c>
      <c r="X52" s="47">
        <v>35</v>
      </c>
      <c r="Y52" s="47">
        <v>29</v>
      </c>
      <c r="Z52" s="47">
        <v>13</v>
      </c>
      <c r="AA52" s="47">
        <v>8</v>
      </c>
      <c r="AB52" s="47">
        <v>10</v>
      </c>
    </row>
    <row r="53" spans="1:28">
      <c r="A53" s="34">
        <v>23</v>
      </c>
      <c r="B53" s="34">
        <v>0</v>
      </c>
      <c r="C53" s="34">
        <v>11</v>
      </c>
      <c r="D53" s="6">
        <v>1</v>
      </c>
      <c r="E53" s="6">
        <v>3</v>
      </c>
      <c r="F53" s="6">
        <v>0</v>
      </c>
      <c r="G53" s="6">
        <v>0</v>
      </c>
      <c r="H53" s="6">
        <v>1</v>
      </c>
      <c r="I53" s="34">
        <v>1</v>
      </c>
      <c r="J53" s="34">
        <v>0</v>
      </c>
      <c r="K53" s="34">
        <v>0</v>
      </c>
      <c r="L53" s="34">
        <v>1</v>
      </c>
      <c r="M53" s="34">
        <v>0</v>
      </c>
      <c r="N53" s="34">
        <v>0</v>
      </c>
      <c r="O53" s="34">
        <v>0</v>
      </c>
      <c r="P53" s="34">
        <v>300000</v>
      </c>
      <c r="Q53" s="34">
        <v>1</v>
      </c>
      <c r="R53" s="34">
        <v>0</v>
      </c>
      <c r="S53" s="34">
        <v>0</v>
      </c>
      <c r="T53" s="5">
        <v>24</v>
      </c>
      <c r="U53" s="5">
        <v>0</v>
      </c>
      <c r="V53" s="5">
        <v>0</v>
      </c>
      <c r="W53" s="38">
        <v>41</v>
      </c>
      <c r="X53" s="47">
        <v>36</v>
      </c>
      <c r="Y53" s="47">
        <v>30</v>
      </c>
      <c r="Z53" s="47">
        <v>17</v>
      </c>
      <c r="AA53" s="47">
        <v>7</v>
      </c>
      <c r="AB53" s="47">
        <v>11</v>
      </c>
    </row>
    <row r="54" spans="1:28">
      <c r="A54" s="34">
        <v>26</v>
      </c>
      <c r="B54" s="34">
        <v>0</v>
      </c>
      <c r="C54" s="34">
        <v>11</v>
      </c>
      <c r="D54" s="6">
        <v>1</v>
      </c>
      <c r="E54" s="6">
        <v>3</v>
      </c>
      <c r="F54" s="6">
        <v>0</v>
      </c>
      <c r="G54" s="6">
        <v>0</v>
      </c>
      <c r="H54" s="6">
        <v>1</v>
      </c>
      <c r="I54" s="34">
        <v>1</v>
      </c>
      <c r="J54" s="34">
        <v>0</v>
      </c>
      <c r="K54" s="34">
        <v>0</v>
      </c>
      <c r="L54" s="34">
        <v>2</v>
      </c>
      <c r="M54" s="34">
        <v>1</v>
      </c>
      <c r="N54" s="34">
        <v>0</v>
      </c>
      <c r="O54" s="34">
        <v>0</v>
      </c>
      <c r="P54" s="34">
        <v>200000</v>
      </c>
      <c r="Q54" s="34">
        <v>1</v>
      </c>
      <c r="R54" s="34">
        <v>0</v>
      </c>
      <c r="S54" s="34">
        <v>0</v>
      </c>
      <c r="T54" s="5">
        <v>28</v>
      </c>
      <c r="U54" s="5">
        <v>0</v>
      </c>
      <c r="V54" s="5">
        <v>0</v>
      </c>
      <c r="W54" s="38">
        <v>31</v>
      </c>
      <c r="X54" s="47">
        <v>32</v>
      </c>
      <c r="Y54" s="47">
        <v>28</v>
      </c>
      <c r="Z54" s="47">
        <v>23</v>
      </c>
      <c r="AA54" s="47">
        <v>10</v>
      </c>
      <c r="AB54" s="47">
        <v>12</v>
      </c>
    </row>
    <row r="55" spans="1:28">
      <c r="A55" s="34">
        <v>42</v>
      </c>
      <c r="B55" s="34">
        <v>0</v>
      </c>
      <c r="C55" s="34">
        <v>4</v>
      </c>
      <c r="D55" s="6">
        <v>1</v>
      </c>
      <c r="E55" s="6">
        <v>3</v>
      </c>
      <c r="F55" s="6">
        <v>0</v>
      </c>
      <c r="G55" s="6">
        <v>0</v>
      </c>
      <c r="H55" s="6">
        <v>1</v>
      </c>
      <c r="I55" s="34">
        <v>1</v>
      </c>
      <c r="J55" s="34">
        <v>0</v>
      </c>
      <c r="K55" s="34">
        <v>0</v>
      </c>
      <c r="L55" s="34">
        <v>2</v>
      </c>
      <c r="M55" s="34">
        <v>1</v>
      </c>
      <c r="N55" s="34">
        <v>0</v>
      </c>
      <c r="O55" s="34">
        <v>0</v>
      </c>
      <c r="P55" s="34">
        <v>200000</v>
      </c>
      <c r="Q55" s="34">
        <v>1</v>
      </c>
      <c r="R55" s="34">
        <v>0</v>
      </c>
      <c r="S55" s="34">
        <v>0</v>
      </c>
      <c r="T55" s="5">
        <v>26</v>
      </c>
      <c r="U55" s="5">
        <v>1</v>
      </c>
      <c r="V55" s="5">
        <v>0</v>
      </c>
      <c r="W55" s="38">
        <v>22</v>
      </c>
      <c r="X55" s="47">
        <v>26</v>
      </c>
      <c r="Y55" s="47">
        <v>16</v>
      </c>
      <c r="Z55" s="47">
        <v>15</v>
      </c>
      <c r="AA55" s="47">
        <v>7</v>
      </c>
      <c r="AB55" s="47">
        <v>11</v>
      </c>
    </row>
    <row r="56" spans="1:28">
      <c r="A56" s="34">
        <v>21</v>
      </c>
      <c r="B56" s="34">
        <v>1</v>
      </c>
      <c r="C56" s="34">
        <v>11</v>
      </c>
      <c r="D56" s="6">
        <v>1</v>
      </c>
      <c r="E56" s="6">
        <v>3</v>
      </c>
      <c r="F56" s="6">
        <v>0</v>
      </c>
      <c r="G56" s="6">
        <v>0</v>
      </c>
      <c r="H56" s="6">
        <v>1</v>
      </c>
      <c r="I56" s="34">
        <v>1</v>
      </c>
      <c r="J56" s="34">
        <v>0</v>
      </c>
      <c r="K56" s="34">
        <v>0</v>
      </c>
      <c r="L56" s="34">
        <v>1</v>
      </c>
      <c r="M56" s="34">
        <v>0</v>
      </c>
      <c r="N56" s="34">
        <v>0</v>
      </c>
      <c r="O56" s="34">
        <v>0</v>
      </c>
      <c r="P56" s="34">
        <v>150000</v>
      </c>
      <c r="Q56" s="34">
        <v>1</v>
      </c>
      <c r="R56" s="34">
        <v>0</v>
      </c>
      <c r="S56" s="34">
        <v>0</v>
      </c>
      <c r="T56" s="5">
        <v>20</v>
      </c>
      <c r="U56" s="5">
        <v>0</v>
      </c>
      <c r="V56" s="5">
        <v>0</v>
      </c>
      <c r="W56" s="38">
        <v>46</v>
      </c>
      <c r="X56" s="47">
        <v>32</v>
      </c>
      <c r="Y56" s="47">
        <v>28</v>
      </c>
      <c r="Z56" s="47">
        <v>18</v>
      </c>
      <c r="AA56" s="47">
        <v>9</v>
      </c>
      <c r="AB56" s="47">
        <v>12</v>
      </c>
    </row>
    <row r="57" spans="1:28">
      <c r="A57" s="34">
        <v>18</v>
      </c>
      <c r="B57" s="34">
        <v>1</v>
      </c>
      <c r="C57" s="34">
        <v>11</v>
      </c>
      <c r="D57" s="6">
        <v>3</v>
      </c>
      <c r="E57" s="6">
        <v>1</v>
      </c>
      <c r="F57" s="6">
        <v>1</v>
      </c>
      <c r="G57" s="6">
        <v>0</v>
      </c>
      <c r="H57" s="6">
        <v>0</v>
      </c>
      <c r="I57" s="34">
        <v>1</v>
      </c>
      <c r="J57" s="34">
        <v>0</v>
      </c>
      <c r="K57" s="34">
        <v>0</v>
      </c>
      <c r="L57" s="34">
        <v>1</v>
      </c>
      <c r="M57" s="34">
        <v>0</v>
      </c>
      <c r="N57" s="34">
        <v>0</v>
      </c>
      <c r="O57" s="34">
        <v>0</v>
      </c>
      <c r="P57" s="34">
        <v>250000</v>
      </c>
      <c r="Q57" s="34">
        <v>2</v>
      </c>
      <c r="R57" s="34">
        <v>1</v>
      </c>
      <c r="S57" s="34">
        <v>0</v>
      </c>
      <c r="T57" s="5">
        <v>21</v>
      </c>
      <c r="U57" s="5">
        <v>0</v>
      </c>
      <c r="V57" s="5">
        <v>0</v>
      </c>
      <c r="W57" s="38">
        <v>45</v>
      </c>
      <c r="X57" s="47">
        <v>35</v>
      </c>
      <c r="Y57" s="47">
        <v>30</v>
      </c>
      <c r="Z57" s="47">
        <v>19</v>
      </c>
      <c r="AA57" s="47">
        <v>11</v>
      </c>
      <c r="AB57" s="47">
        <v>12</v>
      </c>
    </row>
    <row r="58" spans="1:28">
      <c r="A58" s="34">
        <v>21</v>
      </c>
      <c r="B58" s="34">
        <v>1</v>
      </c>
      <c r="C58" s="34">
        <v>8</v>
      </c>
      <c r="D58" s="6">
        <v>3</v>
      </c>
      <c r="E58" s="6">
        <v>1</v>
      </c>
      <c r="F58" s="6">
        <v>1</v>
      </c>
      <c r="G58" s="6">
        <v>0</v>
      </c>
      <c r="H58" s="6">
        <v>0</v>
      </c>
      <c r="I58" s="34">
        <v>2</v>
      </c>
      <c r="J58" s="34">
        <v>1</v>
      </c>
      <c r="K58" s="34">
        <v>0</v>
      </c>
      <c r="L58" s="34">
        <v>2</v>
      </c>
      <c r="M58" s="34">
        <v>1</v>
      </c>
      <c r="N58" s="34">
        <v>0</v>
      </c>
      <c r="O58" s="34">
        <v>0</v>
      </c>
      <c r="P58" s="34">
        <v>300000</v>
      </c>
      <c r="Q58" s="34">
        <v>1</v>
      </c>
      <c r="R58" s="34">
        <v>0</v>
      </c>
      <c r="S58" s="34">
        <v>0</v>
      </c>
      <c r="T58" s="5">
        <v>25</v>
      </c>
      <c r="U58" s="5">
        <v>0</v>
      </c>
      <c r="V58" s="5">
        <v>0</v>
      </c>
      <c r="W58" s="38">
        <v>48</v>
      </c>
      <c r="X58" s="47">
        <v>33</v>
      </c>
      <c r="Y58" s="47">
        <v>22</v>
      </c>
      <c r="Z58" s="47">
        <v>15</v>
      </c>
      <c r="AA58" s="47">
        <v>8</v>
      </c>
      <c r="AB58" s="47">
        <v>10</v>
      </c>
    </row>
    <row r="59" spans="1:28">
      <c r="A59" s="34">
        <v>21</v>
      </c>
      <c r="B59" s="34">
        <v>0</v>
      </c>
      <c r="C59" s="34">
        <v>8</v>
      </c>
      <c r="D59" s="6">
        <v>2</v>
      </c>
      <c r="E59" s="6">
        <v>2</v>
      </c>
      <c r="F59" s="6">
        <v>0</v>
      </c>
      <c r="G59" s="6">
        <v>0</v>
      </c>
      <c r="H59" s="6">
        <v>0</v>
      </c>
      <c r="I59" s="34">
        <v>1</v>
      </c>
      <c r="J59" s="34">
        <v>0</v>
      </c>
      <c r="K59" s="34">
        <v>0</v>
      </c>
      <c r="L59" s="34">
        <v>2</v>
      </c>
      <c r="M59" s="34">
        <v>1</v>
      </c>
      <c r="N59" s="34">
        <v>0</v>
      </c>
      <c r="O59" s="34">
        <v>0</v>
      </c>
      <c r="P59" s="34">
        <v>100000</v>
      </c>
      <c r="Q59" s="34">
        <v>1</v>
      </c>
      <c r="R59" s="34">
        <v>0</v>
      </c>
      <c r="S59" s="34">
        <v>0</v>
      </c>
      <c r="T59" s="5">
        <v>23</v>
      </c>
      <c r="U59" s="5">
        <v>0</v>
      </c>
      <c r="V59" s="5">
        <v>0</v>
      </c>
      <c r="W59" s="38">
        <v>42</v>
      </c>
      <c r="X59" s="47">
        <v>36</v>
      </c>
      <c r="Y59" s="47">
        <v>27</v>
      </c>
      <c r="Z59" s="47">
        <v>24</v>
      </c>
      <c r="AA59" s="47">
        <v>9</v>
      </c>
      <c r="AB59" s="47">
        <v>11</v>
      </c>
    </row>
    <row r="60" spans="1:28">
      <c r="A60" s="34">
        <v>19</v>
      </c>
      <c r="B60" s="34">
        <v>1</v>
      </c>
      <c r="C60" s="34">
        <v>6</v>
      </c>
      <c r="D60" s="6">
        <v>1</v>
      </c>
      <c r="E60" s="6">
        <v>3</v>
      </c>
      <c r="F60" s="6">
        <v>0</v>
      </c>
      <c r="G60" s="6">
        <v>0</v>
      </c>
      <c r="H60" s="6">
        <v>1</v>
      </c>
      <c r="I60" s="34">
        <v>1</v>
      </c>
      <c r="J60" s="34">
        <v>0</v>
      </c>
      <c r="K60" s="34">
        <v>0</v>
      </c>
      <c r="L60" s="34">
        <v>2</v>
      </c>
      <c r="M60" s="34">
        <v>1</v>
      </c>
      <c r="N60" s="34">
        <v>0</v>
      </c>
      <c r="O60" s="34">
        <v>0</v>
      </c>
      <c r="P60" s="34">
        <v>100000</v>
      </c>
      <c r="Q60" s="34">
        <v>1</v>
      </c>
      <c r="R60" s="34">
        <v>0</v>
      </c>
      <c r="S60" s="34">
        <v>0</v>
      </c>
      <c r="T60" s="5">
        <v>19</v>
      </c>
      <c r="U60" s="5">
        <v>0</v>
      </c>
      <c r="V60" s="5">
        <v>0</v>
      </c>
      <c r="W60" s="38">
        <v>42</v>
      </c>
      <c r="X60" s="47">
        <v>33</v>
      </c>
      <c r="Y60" s="47">
        <v>8</v>
      </c>
      <c r="Z60" s="47">
        <v>13</v>
      </c>
      <c r="AA60" s="47">
        <v>6</v>
      </c>
      <c r="AB60" s="47">
        <v>10</v>
      </c>
    </row>
    <row r="61" spans="1:28">
      <c r="A61" s="34">
        <v>45</v>
      </c>
      <c r="B61" s="34">
        <v>1</v>
      </c>
      <c r="C61" s="34">
        <v>2</v>
      </c>
      <c r="D61" s="6">
        <v>3</v>
      </c>
      <c r="E61" s="6">
        <v>1</v>
      </c>
      <c r="F61" s="6">
        <v>1</v>
      </c>
      <c r="G61" s="6">
        <v>0</v>
      </c>
      <c r="H61" s="6">
        <v>0</v>
      </c>
      <c r="I61" s="34">
        <v>1</v>
      </c>
      <c r="J61" s="34">
        <v>0</v>
      </c>
      <c r="K61" s="34">
        <v>0</v>
      </c>
      <c r="L61" s="34">
        <v>2</v>
      </c>
      <c r="M61" s="34">
        <v>1</v>
      </c>
      <c r="N61" s="34">
        <v>0</v>
      </c>
      <c r="O61" s="34">
        <v>0</v>
      </c>
      <c r="P61" s="34">
        <v>50000</v>
      </c>
      <c r="Q61" s="34">
        <v>1</v>
      </c>
      <c r="R61" s="34">
        <v>0</v>
      </c>
      <c r="S61" s="34">
        <v>0</v>
      </c>
      <c r="T61" s="5">
        <v>24</v>
      </c>
      <c r="U61" s="5">
        <v>1</v>
      </c>
      <c r="V61" s="5">
        <v>0</v>
      </c>
      <c r="W61" s="38">
        <v>28</v>
      </c>
      <c r="X61" s="47">
        <v>8</v>
      </c>
      <c r="Y61" s="47">
        <v>6</v>
      </c>
      <c r="Z61" s="47">
        <v>15</v>
      </c>
      <c r="AA61" s="47">
        <v>4</v>
      </c>
      <c r="AB61" s="47">
        <v>12</v>
      </c>
    </row>
    <row r="62" spans="1:28">
      <c r="A62" s="34">
        <v>28</v>
      </c>
      <c r="B62" s="34">
        <v>1</v>
      </c>
      <c r="C62" s="34">
        <v>11</v>
      </c>
      <c r="D62" s="6">
        <v>1</v>
      </c>
      <c r="E62" s="6">
        <v>3</v>
      </c>
      <c r="F62" s="6">
        <v>0</v>
      </c>
      <c r="G62" s="6">
        <v>0</v>
      </c>
      <c r="H62" s="6">
        <v>1</v>
      </c>
      <c r="I62" s="34">
        <v>1</v>
      </c>
      <c r="J62" s="34">
        <v>0</v>
      </c>
      <c r="K62" s="34">
        <v>0</v>
      </c>
      <c r="L62" s="34">
        <v>2</v>
      </c>
      <c r="M62" s="34">
        <v>1</v>
      </c>
      <c r="N62" s="34">
        <v>0</v>
      </c>
      <c r="O62" s="34">
        <v>0</v>
      </c>
      <c r="P62" s="34">
        <v>125000</v>
      </c>
      <c r="Q62" s="34">
        <v>2</v>
      </c>
      <c r="R62" s="34">
        <v>1</v>
      </c>
      <c r="S62" s="34">
        <v>0</v>
      </c>
      <c r="T62" s="5">
        <v>25</v>
      </c>
      <c r="U62" s="5">
        <v>0</v>
      </c>
      <c r="V62" s="5">
        <v>0</v>
      </c>
      <c r="W62" s="38">
        <v>40</v>
      </c>
      <c r="X62" s="47">
        <v>36</v>
      </c>
      <c r="Y62" s="47">
        <v>31</v>
      </c>
      <c r="Z62" s="47">
        <v>22</v>
      </c>
      <c r="AA62" s="47">
        <v>10</v>
      </c>
      <c r="AB62" s="47">
        <v>12</v>
      </c>
    </row>
    <row r="63" spans="1:28">
      <c r="A63" s="34">
        <v>29</v>
      </c>
      <c r="B63" s="34">
        <v>0</v>
      </c>
      <c r="C63" s="34">
        <v>5</v>
      </c>
      <c r="D63" s="6">
        <v>1</v>
      </c>
      <c r="E63" s="6">
        <v>3</v>
      </c>
      <c r="F63" s="6">
        <v>0</v>
      </c>
      <c r="G63" s="6">
        <v>0</v>
      </c>
      <c r="H63" s="6">
        <v>1</v>
      </c>
      <c r="I63" s="34">
        <v>1</v>
      </c>
      <c r="J63" s="34">
        <v>0</v>
      </c>
      <c r="K63" s="34">
        <v>0</v>
      </c>
      <c r="L63" s="34">
        <v>2</v>
      </c>
      <c r="M63" s="34">
        <v>1</v>
      </c>
      <c r="N63" s="34">
        <v>0</v>
      </c>
      <c r="O63" s="34">
        <v>0</v>
      </c>
      <c r="P63" s="34">
        <v>50000</v>
      </c>
      <c r="Q63" s="34">
        <v>1</v>
      </c>
      <c r="R63" s="34">
        <v>0</v>
      </c>
      <c r="S63" s="34">
        <v>0</v>
      </c>
      <c r="T63" s="5">
        <v>20</v>
      </c>
      <c r="U63" s="5">
        <v>1</v>
      </c>
      <c r="V63" s="5">
        <v>0</v>
      </c>
      <c r="W63" s="38">
        <v>28</v>
      </c>
      <c r="X63" s="47">
        <v>35</v>
      </c>
      <c r="Y63" s="47">
        <v>16</v>
      </c>
      <c r="Z63" s="47">
        <v>16</v>
      </c>
      <c r="AA63" s="47">
        <v>9</v>
      </c>
      <c r="AB63" s="47">
        <v>11</v>
      </c>
    </row>
    <row r="64" spans="1:28">
      <c r="A64" s="34">
        <v>24</v>
      </c>
      <c r="B64" s="34">
        <v>0</v>
      </c>
      <c r="C64" s="34">
        <v>5</v>
      </c>
      <c r="D64" s="6">
        <v>2</v>
      </c>
      <c r="E64" s="6">
        <v>2</v>
      </c>
      <c r="F64" s="6">
        <v>0</v>
      </c>
      <c r="G64" s="6">
        <v>0</v>
      </c>
      <c r="H64" s="6">
        <v>0</v>
      </c>
      <c r="I64" s="34">
        <v>1</v>
      </c>
      <c r="J64" s="34">
        <v>0</v>
      </c>
      <c r="K64" s="34">
        <v>0</v>
      </c>
      <c r="L64" s="34">
        <v>2</v>
      </c>
      <c r="M64" s="34">
        <v>1</v>
      </c>
      <c r="N64" s="34">
        <v>0</v>
      </c>
      <c r="O64" s="34">
        <v>0</v>
      </c>
      <c r="P64" s="34">
        <v>100000</v>
      </c>
      <c r="Q64" s="34">
        <v>1</v>
      </c>
      <c r="R64" s="34">
        <v>0</v>
      </c>
      <c r="S64" s="34">
        <v>0</v>
      </c>
      <c r="T64" s="5">
        <v>21</v>
      </c>
      <c r="U64" s="5">
        <v>1</v>
      </c>
      <c r="V64" s="5">
        <v>0</v>
      </c>
      <c r="W64" s="38">
        <v>39</v>
      </c>
      <c r="X64" s="47">
        <v>3</v>
      </c>
      <c r="Y64" s="47">
        <v>6</v>
      </c>
      <c r="Z64" s="47">
        <v>11</v>
      </c>
      <c r="AA64" s="47">
        <v>9</v>
      </c>
      <c r="AB64" s="47">
        <v>12</v>
      </c>
    </row>
    <row r="65" spans="1:28">
      <c r="A65" s="34">
        <v>57</v>
      </c>
      <c r="B65" s="34">
        <v>0</v>
      </c>
      <c r="C65" s="34">
        <v>0</v>
      </c>
      <c r="D65" s="6">
        <v>2</v>
      </c>
      <c r="E65" s="6">
        <v>2</v>
      </c>
      <c r="F65" s="6">
        <v>0</v>
      </c>
      <c r="G65" s="6">
        <v>0</v>
      </c>
      <c r="H65" s="6">
        <v>0</v>
      </c>
      <c r="I65" s="34">
        <v>1</v>
      </c>
      <c r="J65" s="34">
        <v>0</v>
      </c>
      <c r="K65" s="34">
        <v>0</v>
      </c>
      <c r="L65" s="34">
        <v>2</v>
      </c>
      <c r="M65" s="34">
        <v>1</v>
      </c>
      <c r="N65" s="34">
        <v>0</v>
      </c>
      <c r="O65" s="34">
        <v>0</v>
      </c>
      <c r="P65" s="34">
        <v>50000</v>
      </c>
      <c r="Q65" s="34">
        <v>1</v>
      </c>
      <c r="R65" s="34">
        <v>0</v>
      </c>
      <c r="S65" s="34">
        <v>0</v>
      </c>
      <c r="T65" s="5">
        <v>21</v>
      </c>
      <c r="U65" s="5">
        <v>1</v>
      </c>
      <c r="V65" s="5">
        <v>0</v>
      </c>
      <c r="W65" s="38">
        <v>28</v>
      </c>
      <c r="X65" s="47">
        <v>9</v>
      </c>
      <c r="Y65" s="47">
        <v>3</v>
      </c>
      <c r="Z65" s="47">
        <v>8</v>
      </c>
      <c r="AA65" s="47">
        <v>1</v>
      </c>
      <c r="AB65" s="47">
        <v>11</v>
      </c>
    </row>
    <row r="66" spans="1:28">
      <c r="A66" s="34">
        <v>23</v>
      </c>
      <c r="B66" s="34">
        <v>1</v>
      </c>
      <c r="C66" s="34">
        <v>7</v>
      </c>
      <c r="D66" s="6">
        <v>3</v>
      </c>
      <c r="E66" s="6">
        <v>1</v>
      </c>
      <c r="F66" s="6">
        <v>1</v>
      </c>
      <c r="G66" s="6">
        <v>0</v>
      </c>
      <c r="H66" s="6">
        <v>0</v>
      </c>
      <c r="I66" s="34">
        <v>1</v>
      </c>
      <c r="J66" s="34">
        <v>0</v>
      </c>
      <c r="K66" s="34">
        <v>0</v>
      </c>
      <c r="L66" s="34">
        <v>2</v>
      </c>
      <c r="M66" s="34">
        <v>1</v>
      </c>
      <c r="N66" s="34">
        <v>0</v>
      </c>
      <c r="O66" s="34">
        <v>0</v>
      </c>
      <c r="P66" s="34">
        <v>300000</v>
      </c>
      <c r="Q66" s="34">
        <v>1</v>
      </c>
      <c r="R66" s="34">
        <v>0</v>
      </c>
      <c r="S66" s="34">
        <v>0</v>
      </c>
      <c r="T66" s="5">
        <v>27</v>
      </c>
      <c r="U66" s="5">
        <v>0</v>
      </c>
      <c r="V66" s="5">
        <v>0</v>
      </c>
      <c r="W66" s="38">
        <v>52</v>
      </c>
      <c r="X66" s="47">
        <v>22</v>
      </c>
      <c r="Y66" s="47">
        <v>13</v>
      </c>
      <c r="Z66" s="47">
        <v>22</v>
      </c>
      <c r="AA66" s="47">
        <v>10</v>
      </c>
      <c r="AB66" s="47">
        <v>12</v>
      </c>
    </row>
    <row r="67" spans="1:28">
      <c r="A67" s="34">
        <v>37</v>
      </c>
      <c r="B67" s="34">
        <v>0</v>
      </c>
      <c r="C67" s="34">
        <v>2</v>
      </c>
      <c r="D67" s="6">
        <v>2</v>
      </c>
      <c r="E67" s="6">
        <v>2</v>
      </c>
      <c r="F67" s="6">
        <v>0</v>
      </c>
      <c r="G67" s="6">
        <v>0</v>
      </c>
      <c r="H67" s="6">
        <v>0</v>
      </c>
      <c r="I67" s="34">
        <v>1</v>
      </c>
      <c r="J67" s="34">
        <v>0</v>
      </c>
      <c r="K67" s="34">
        <v>0</v>
      </c>
      <c r="L67" s="34">
        <v>2</v>
      </c>
      <c r="M67" s="34">
        <v>1</v>
      </c>
      <c r="N67" s="34">
        <v>0</v>
      </c>
      <c r="O67" s="34">
        <v>0</v>
      </c>
      <c r="P67" s="34">
        <v>150000</v>
      </c>
      <c r="Q67" s="34">
        <v>1</v>
      </c>
      <c r="R67" s="34">
        <v>0</v>
      </c>
      <c r="S67" s="34">
        <v>0</v>
      </c>
      <c r="T67" s="5">
        <v>28</v>
      </c>
      <c r="U67" s="5">
        <v>1</v>
      </c>
      <c r="V67" s="5">
        <v>0</v>
      </c>
      <c r="W67" s="38">
        <v>34</v>
      </c>
      <c r="X67" s="47">
        <v>35</v>
      </c>
      <c r="Y67" s="47">
        <v>4</v>
      </c>
      <c r="Z67" s="47">
        <v>11</v>
      </c>
      <c r="AA67" s="47">
        <v>6</v>
      </c>
      <c r="AB67" s="47">
        <v>11</v>
      </c>
    </row>
    <row r="68" spans="1:28">
      <c r="A68" s="34">
        <v>31</v>
      </c>
      <c r="B68" s="34">
        <v>1</v>
      </c>
      <c r="C68" s="34">
        <v>6</v>
      </c>
      <c r="D68" s="6">
        <v>3</v>
      </c>
      <c r="E68" s="6">
        <v>1</v>
      </c>
      <c r="F68" s="6">
        <v>1</v>
      </c>
      <c r="G68" s="6">
        <v>0</v>
      </c>
      <c r="H68" s="6">
        <v>0</v>
      </c>
      <c r="I68" s="34">
        <v>1</v>
      </c>
      <c r="J68" s="34">
        <v>0</v>
      </c>
      <c r="K68" s="34">
        <v>0</v>
      </c>
      <c r="L68" s="34">
        <v>2</v>
      </c>
      <c r="M68" s="34">
        <v>1</v>
      </c>
      <c r="N68" s="34">
        <v>0</v>
      </c>
      <c r="O68" s="34">
        <v>0</v>
      </c>
      <c r="P68" s="34">
        <v>100000</v>
      </c>
      <c r="Q68" s="34">
        <v>1</v>
      </c>
      <c r="R68" s="34">
        <v>0</v>
      </c>
      <c r="S68" s="34">
        <v>0</v>
      </c>
      <c r="T68" s="5">
        <v>28</v>
      </c>
      <c r="U68" s="5">
        <v>0</v>
      </c>
      <c r="V68" s="5">
        <v>0</v>
      </c>
      <c r="W68" s="38">
        <v>33</v>
      </c>
      <c r="X68" s="47">
        <v>30</v>
      </c>
      <c r="Y68" s="47">
        <v>18</v>
      </c>
      <c r="Z68" s="47">
        <v>18</v>
      </c>
      <c r="AA68" s="47">
        <v>8</v>
      </c>
      <c r="AB68" s="47">
        <v>11</v>
      </c>
    </row>
    <row r="69" spans="1:28">
      <c r="A69" s="34">
        <v>33</v>
      </c>
      <c r="B69" s="34">
        <v>1</v>
      </c>
      <c r="C69" s="34">
        <v>5</v>
      </c>
      <c r="D69" s="6">
        <v>1</v>
      </c>
      <c r="E69" s="6">
        <v>3</v>
      </c>
      <c r="F69" s="6">
        <v>0</v>
      </c>
      <c r="G69" s="6">
        <v>0</v>
      </c>
      <c r="H69" s="6">
        <v>1</v>
      </c>
      <c r="I69" s="34">
        <v>1</v>
      </c>
      <c r="J69" s="34">
        <v>0</v>
      </c>
      <c r="K69" s="34">
        <v>0</v>
      </c>
      <c r="L69" s="34">
        <v>2</v>
      </c>
      <c r="M69" s="34">
        <v>1</v>
      </c>
      <c r="N69" s="34">
        <v>0</v>
      </c>
      <c r="O69" s="34">
        <v>0</v>
      </c>
      <c r="P69" s="34">
        <v>300000</v>
      </c>
      <c r="Q69" s="34">
        <v>1</v>
      </c>
      <c r="R69" s="34">
        <v>0</v>
      </c>
      <c r="S69" s="34">
        <v>0</v>
      </c>
      <c r="T69" s="5">
        <v>26</v>
      </c>
      <c r="U69" s="5">
        <v>1</v>
      </c>
      <c r="V69" s="5">
        <v>0</v>
      </c>
      <c r="W69" s="38">
        <v>28</v>
      </c>
      <c r="X69" s="47">
        <v>22</v>
      </c>
      <c r="Y69" s="47">
        <v>8</v>
      </c>
      <c r="Z69" s="47">
        <v>10</v>
      </c>
      <c r="AA69" s="47">
        <v>5</v>
      </c>
      <c r="AB69" s="47">
        <v>9</v>
      </c>
    </row>
    <row r="70" spans="1:28">
      <c r="A70" s="34">
        <v>44</v>
      </c>
      <c r="B70" s="34">
        <v>0</v>
      </c>
      <c r="C70" s="34">
        <v>0</v>
      </c>
      <c r="D70" s="6">
        <v>1</v>
      </c>
      <c r="E70" s="6">
        <v>3</v>
      </c>
      <c r="F70" s="6">
        <v>0</v>
      </c>
      <c r="G70" s="6">
        <v>0</v>
      </c>
      <c r="H70" s="6">
        <v>1</v>
      </c>
      <c r="I70" s="34">
        <v>1</v>
      </c>
      <c r="J70" s="34">
        <v>0</v>
      </c>
      <c r="K70" s="34">
        <v>0</v>
      </c>
      <c r="L70" s="34">
        <v>1</v>
      </c>
      <c r="M70" s="34">
        <v>0</v>
      </c>
      <c r="N70" s="34">
        <v>0</v>
      </c>
      <c r="O70" s="34">
        <v>0</v>
      </c>
      <c r="P70" s="34">
        <v>300000</v>
      </c>
      <c r="Q70" s="34">
        <v>1</v>
      </c>
      <c r="R70" s="34">
        <v>0</v>
      </c>
      <c r="S70" s="34">
        <v>0</v>
      </c>
      <c r="T70" s="5">
        <v>26</v>
      </c>
      <c r="U70" s="5">
        <v>1</v>
      </c>
      <c r="V70" s="5">
        <v>0</v>
      </c>
      <c r="W70" s="38">
        <v>22</v>
      </c>
      <c r="X70" s="47">
        <v>18</v>
      </c>
      <c r="Y70" s="47">
        <v>9</v>
      </c>
      <c r="Z70" s="47">
        <v>11</v>
      </c>
      <c r="AA70" s="47">
        <v>5</v>
      </c>
      <c r="AB70" s="47">
        <v>8</v>
      </c>
    </row>
    <row r="71" spans="1:28">
      <c r="A71" s="34">
        <v>21</v>
      </c>
      <c r="B71" s="34">
        <v>0</v>
      </c>
      <c r="C71" s="34">
        <v>11</v>
      </c>
      <c r="D71" s="6">
        <v>1</v>
      </c>
      <c r="E71" s="6">
        <v>3</v>
      </c>
      <c r="F71" s="6">
        <v>0</v>
      </c>
      <c r="G71" s="6">
        <v>0</v>
      </c>
      <c r="H71" s="6">
        <v>1</v>
      </c>
      <c r="I71" s="34">
        <v>1</v>
      </c>
      <c r="J71" s="34">
        <v>0</v>
      </c>
      <c r="K71" s="34">
        <v>0</v>
      </c>
      <c r="L71" s="34">
        <v>2</v>
      </c>
      <c r="M71" s="34">
        <v>1</v>
      </c>
      <c r="N71" s="34">
        <v>0</v>
      </c>
      <c r="O71" s="34">
        <v>0</v>
      </c>
      <c r="P71" s="34">
        <v>50000</v>
      </c>
      <c r="Q71" s="34">
        <v>1</v>
      </c>
      <c r="R71" s="34">
        <v>0</v>
      </c>
      <c r="S71" s="34">
        <v>0</v>
      </c>
      <c r="T71" s="5">
        <v>24</v>
      </c>
      <c r="U71" s="5">
        <v>0</v>
      </c>
      <c r="V71" s="5">
        <v>0</v>
      </c>
      <c r="W71" s="38">
        <v>55</v>
      </c>
      <c r="X71" s="47">
        <v>35</v>
      </c>
      <c r="Y71" s="47">
        <v>32</v>
      </c>
      <c r="Z71" s="47">
        <v>22</v>
      </c>
      <c r="AA71" s="47">
        <v>12</v>
      </c>
      <c r="AB71" s="47">
        <v>12</v>
      </c>
    </row>
    <row r="72" spans="1:28">
      <c r="A72" s="34">
        <v>36</v>
      </c>
      <c r="B72" s="34">
        <v>0</v>
      </c>
      <c r="C72" s="34">
        <v>3</v>
      </c>
      <c r="D72" s="6">
        <v>1</v>
      </c>
      <c r="E72" s="6">
        <v>3</v>
      </c>
      <c r="F72" s="6">
        <v>0</v>
      </c>
      <c r="G72" s="6">
        <v>0</v>
      </c>
      <c r="H72" s="6">
        <v>1</v>
      </c>
      <c r="I72" s="34">
        <v>1</v>
      </c>
      <c r="J72" s="34">
        <v>0</v>
      </c>
      <c r="K72" s="34">
        <v>0</v>
      </c>
      <c r="L72" s="34">
        <v>1</v>
      </c>
      <c r="M72" s="34">
        <v>0</v>
      </c>
      <c r="N72" s="34">
        <v>0</v>
      </c>
      <c r="O72" s="34">
        <v>0</v>
      </c>
      <c r="P72" s="34">
        <v>150000</v>
      </c>
      <c r="Q72" s="34">
        <v>1</v>
      </c>
      <c r="R72" s="34">
        <v>0</v>
      </c>
      <c r="S72" s="34">
        <v>0</v>
      </c>
      <c r="T72" s="5">
        <v>23</v>
      </c>
      <c r="U72" s="5">
        <v>1</v>
      </c>
      <c r="V72" s="5">
        <v>0</v>
      </c>
      <c r="W72" s="38">
        <v>33</v>
      </c>
      <c r="X72" s="47">
        <v>19</v>
      </c>
      <c r="Y72" s="47">
        <v>7</v>
      </c>
      <c r="Z72" s="47">
        <v>10</v>
      </c>
      <c r="AA72" s="47">
        <v>5</v>
      </c>
      <c r="AB72" s="47">
        <v>8</v>
      </c>
    </row>
    <row r="73" spans="1:28">
      <c r="A73" s="34">
        <v>47</v>
      </c>
      <c r="B73" s="34">
        <v>0</v>
      </c>
      <c r="C73" s="34">
        <v>0</v>
      </c>
      <c r="D73" s="6">
        <v>1</v>
      </c>
      <c r="E73" s="6">
        <v>3</v>
      </c>
      <c r="F73" s="6">
        <v>0</v>
      </c>
      <c r="G73" s="6">
        <v>0</v>
      </c>
      <c r="H73" s="6">
        <v>1</v>
      </c>
      <c r="I73" s="34">
        <v>1</v>
      </c>
      <c r="J73" s="34">
        <v>0</v>
      </c>
      <c r="K73" s="34">
        <v>0</v>
      </c>
      <c r="L73" s="34">
        <v>2</v>
      </c>
      <c r="M73" s="34">
        <v>1</v>
      </c>
      <c r="N73" s="34">
        <v>0</v>
      </c>
      <c r="O73" s="34">
        <v>0</v>
      </c>
      <c r="P73" s="34">
        <v>300000</v>
      </c>
      <c r="Q73" s="34">
        <v>1</v>
      </c>
      <c r="R73" s="34">
        <v>0</v>
      </c>
      <c r="S73" s="34">
        <v>0</v>
      </c>
      <c r="T73" s="5">
        <v>24</v>
      </c>
      <c r="U73" s="5">
        <v>1</v>
      </c>
      <c r="V73" s="5">
        <v>0</v>
      </c>
      <c r="W73" s="38">
        <v>20</v>
      </c>
      <c r="X73" s="47">
        <v>17</v>
      </c>
      <c r="Y73" s="47">
        <v>9</v>
      </c>
      <c r="Z73" s="47">
        <v>11</v>
      </c>
      <c r="AA73" s="47">
        <v>6</v>
      </c>
      <c r="AB73" s="47">
        <v>10</v>
      </c>
    </row>
    <row r="74" spans="1:28">
      <c r="A74" s="34">
        <v>37</v>
      </c>
      <c r="B74" s="34">
        <v>1</v>
      </c>
      <c r="C74" s="34">
        <v>4</v>
      </c>
      <c r="D74" s="6">
        <v>1</v>
      </c>
      <c r="E74" s="6">
        <v>3</v>
      </c>
      <c r="F74" s="6">
        <v>0</v>
      </c>
      <c r="G74" s="6">
        <v>0</v>
      </c>
      <c r="H74" s="6">
        <v>1</v>
      </c>
      <c r="I74" s="34">
        <v>1</v>
      </c>
      <c r="J74" s="34">
        <v>0</v>
      </c>
      <c r="K74" s="34">
        <v>0</v>
      </c>
      <c r="L74" s="34">
        <v>2</v>
      </c>
      <c r="M74" s="34">
        <v>1</v>
      </c>
      <c r="N74" s="34">
        <v>0</v>
      </c>
      <c r="O74" s="34">
        <v>0</v>
      </c>
      <c r="P74" s="34">
        <v>200000</v>
      </c>
      <c r="Q74" s="34">
        <v>2</v>
      </c>
      <c r="R74" s="34">
        <v>1</v>
      </c>
      <c r="S74" s="34">
        <v>0</v>
      </c>
      <c r="T74" s="5">
        <v>25</v>
      </c>
      <c r="U74" s="5">
        <v>1</v>
      </c>
      <c r="V74" s="5">
        <v>0</v>
      </c>
      <c r="W74" s="38">
        <v>28</v>
      </c>
      <c r="X74" s="47">
        <v>12</v>
      </c>
      <c r="Y74" s="47">
        <v>6</v>
      </c>
      <c r="Z74" s="47">
        <v>10</v>
      </c>
      <c r="AA74" s="47">
        <v>4</v>
      </c>
      <c r="AB74" s="47">
        <v>11</v>
      </c>
    </row>
    <row r="75" spans="1:28">
      <c r="A75" s="34">
        <v>59</v>
      </c>
      <c r="B75" s="34">
        <v>0</v>
      </c>
      <c r="C75" s="34">
        <v>0</v>
      </c>
      <c r="D75" s="6">
        <v>2</v>
      </c>
      <c r="E75" s="6">
        <v>2</v>
      </c>
      <c r="F75" s="6">
        <v>0</v>
      </c>
      <c r="G75" s="6">
        <v>0</v>
      </c>
      <c r="H75" s="6">
        <v>0</v>
      </c>
      <c r="I75" s="34">
        <v>1</v>
      </c>
      <c r="J75" s="34">
        <v>0</v>
      </c>
      <c r="K75" s="34">
        <v>0</v>
      </c>
      <c r="L75" s="34">
        <v>2</v>
      </c>
      <c r="M75" s="34">
        <v>1</v>
      </c>
      <c r="N75" s="34">
        <v>0</v>
      </c>
      <c r="O75" s="34">
        <v>0</v>
      </c>
      <c r="P75" s="34">
        <v>100000</v>
      </c>
      <c r="Q75" s="34">
        <v>1</v>
      </c>
      <c r="R75" s="34">
        <v>0</v>
      </c>
      <c r="S75" s="34">
        <v>0</v>
      </c>
      <c r="T75" s="5">
        <v>21</v>
      </c>
      <c r="U75" s="5">
        <v>1</v>
      </c>
      <c r="V75" s="5">
        <v>0</v>
      </c>
      <c r="W75" s="38">
        <v>17</v>
      </c>
      <c r="X75" s="47">
        <v>8</v>
      </c>
      <c r="Y75" s="47">
        <v>6</v>
      </c>
      <c r="Z75" s="47">
        <v>10</v>
      </c>
      <c r="AA75" s="47">
        <v>6</v>
      </c>
      <c r="AB75" s="47">
        <v>10</v>
      </c>
    </row>
    <row r="76" spans="1:28">
      <c r="A76" s="34">
        <v>27</v>
      </c>
      <c r="B76" s="34">
        <v>0</v>
      </c>
      <c r="C76" s="34">
        <v>11</v>
      </c>
      <c r="D76" s="6">
        <v>1</v>
      </c>
      <c r="E76" s="6">
        <v>3</v>
      </c>
      <c r="F76" s="6">
        <v>0</v>
      </c>
      <c r="G76" s="6">
        <v>0</v>
      </c>
      <c r="H76" s="6">
        <v>1</v>
      </c>
      <c r="I76" s="34">
        <v>3</v>
      </c>
      <c r="J76" s="34">
        <v>0</v>
      </c>
      <c r="K76" s="34">
        <v>1</v>
      </c>
      <c r="L76" s="34">
        <v>2</v>
      </c>
      <c r="M76" s="34">
        <v>1</v>
      </c>
      <c r="N76" s="34">
        <v>0</v>
      </c>
      <c r="O76" s="34">
        <v>0</v>
      </c>
      <c r="P76" s="34">
        <v>150000</v>
      </c>
      <c r="Q76" s="34">
        <v>1</v>
      </c>
      <c r="R76" s="34">
        <v>0</v>
      </c>
      <c r="S76" s="34">
        <v>0</v>
      </c>
      <c r="T76" s="5">
        <v>25</v>
      </c>
      <c r="U76" s="5">
        <v>0</v>
      </c>
      <c r="V76" s="5">
        <v>0</v>
      </c>
      <c r="W76" s="38">
        <v>57</v>
      </c>
      <c r="X76" s="47">
        <v>32</v>
      </c>
      <c r="Y76" s="47">
        <v>28</v>
      </c>
      <c r="Z76" s="47">
        <v>15</v>
      </c>
      <c r="AA76" s="47">
        <v>7</v>
      </c>
      <c r="AB76" s="47">
        <v>10</v>
      </c>
    </row>
    <row r="77" spans="1:28">
      <c r="A77" s="34">
        <v>29</v>
      </c>
      <c r="B77" s="34">
        <v>0</v>
      </c>
      <c r="C77" s="34">
        <v>11</v>
      </c>
      <c r="D77" s="6">
        <v>1</v>
      </c>
      <c r="E77" s="6">
        <v>3</v>
      </c>
      <c r="F77" s="6">
        <v>0</v>
      </c>
      <c r="G77" s="6">
        <v>0</v>
      </c>
      <c r="H77" s="6">
        <v>1</v>
      </c>
      <c r="I77" s="34">
        <v>1</v>
      </c>
      <c r="J77" s="34">
        <v>0</v>
      </c>
      <c r="K77" s="34">
        <v>0</v>
      </c>
      <c r="L77" s="34">
        <v>1</v>
      </c>
      <c r="M77" s="34">
        <v>0</v>
      </c>
      <c r="N77" s="34">
        <v>0</v>
      </c>
      <c r="O77" s="34">
        <v>0</v>
      </c>
      <c r="P77" s="34">
        <v>250000</v>
      </c>
      <c r="Q77" s="34">
        <v>1</v>
      </c>
      <c r="R77" s="34">
        <v>0</v>
      </c>
      <c r="S77" s="34">
        <v>0</v>
      </c>
      <c r="T77" s="5">
        <v>24</v>
      </c>
      <c r="U77" s="5">
        <v>0</v>
      </c>
      <c r="V77" s="5">
        <v>0</v>
      </c>
      <c r="W77" s="38">
        <v>49</v>
      </c>
      <c r="X77" s="36">
        <v>36</v>
      </c>
      <c r="Y77" s="36">
        <v>32</v>
      </c>
      <c r="Z77" s="36">
        <v>21</v>
      </c>
      <c r="AA77" s="36">
        <v>8</v>
      </c>
      <c r="AB77" s="36">
        <v>12</v>
      </c>
    </row>
    <row r="78" spans="1:28">
      <c r="A78" s="34">
        <v>31</v>
      </c>
      <c r="B78" s="34">
        <v>0</v>
      </c>
      <c r="C78" s="34">
        <v>0</v>
      </c>
      <c r="D78" s="6">
        <v>1</v>
      </c>
      <c r="E78" s="6">
        <v>3</v>
      </c>
      <c r="F78" s="6">
        <v>0</v>
      </c>
      <c r="G78" s="6">
        <v>0</v>
      </c>
      <c r="H78" s="6">
        <v>1</v>
      </c>
      <c r="I78" s="34">
        <v>1</v>
      </c>
      <c r="J78" s="34">
        <v>0</v>
      </c>
      <c r="K78" s="34">
        <v>0</v>
      </c>
      <c r="L78" s="34">
        <v>1</v>
      </c>
      <c r="M78" s="34">
        <v>0</v>
      </c>
      <c r="N78" s="34">
        <v>0</v>
      </c>
      <c r="O78" s="34">
        <v>0</v>
      </c>
      <c r="P78" s="34">
        <v>300000</v>
      </c>
      <c r="Q78" s="34">
        <v>1</v>
      </c>
      <c r="R78" s="34">
        <v>0</v>
      </c>
      <c r="S78" s="34">
        <v>0</v>
      </c>
      <c r="T78" s="5">
        <v>26</v>
      </c>
      <c r="U78" s="5">
        <v>1</v>
      </c>
      <c r="V78" s="5">
        <v>0</v>
      </c>
      <c r="W78" s="38">
        <v>27</v>
      </c>
      <c r="X78" s="47">
        <v>12</v>
      </c>
      <c r="Y78" s="47">
        <v>8</v>
      </c>
      <c r="Z78" s="47">
        <v>10</v>
      </c>
      <c r="AA78" s="47">
        <v>4</v>
      </c>
      <c r="AB78" s="47">
        <v>9</v>
      </c>
    </row>
    <row r="79" spans="1:28">
      <c r="A79" s="34">
        <v>35</v>
      </c>
      <c r="B79" s="34">
        <v>1</v>
      </c>
      <c r="C79" s="34">
        <v>5</v>
      </c>
      <c r="D79" s="6">
        <v>1</v>
      </c>
      <c r="E79" s="6">
        <v>3</v>
      </c>
      <c r="F79" s="6">
        <v>0</v>
      </c>
      <c r="G79" s="6">
        <v>0</v>
      </c>
      <c r="H79" s="6">
        <v>1</v>
      </c>
      <c r="I79" s="34">
        <v>1</v>
      </c>
      <c r="J79" s="34">
        <v>0</v>
      </c>
      <c r="K79" s="34">
        <v>0</v>
      </c>
      <c r="L79" s="34">
        <v>2</v>
      </c>
      <c r="M79" s="34">
        <v>1</v>
      </c>
      <c r="N79" s="34">
        <v>0</v>
      </c>
      <c r="O79" s="34">
        <v>0</v>
      </c>
      <c r="P79" s="34">
        <v>50000</v>
      </c>
      <c r="Q79" s="34">
        <v>1</v>
      </c>
      <c r="R79" s="34">
        <v>0</v>
      </c>
      <c r="S79" s="34">
        <v>0</v>
      </c>
      <c r="T79" s="5">
        <v>26</v>
      </c>
      <c r="U79" s="5">
        <v>1</v>
      </c>
      <c r="V79" s="5">
        <v>0</v>
      </c>
      <c r="W79" s="38">
        <v>42</v>
      </c>
      <c r="X79" s="47">
        <v>35</v>
      </c>
      <c r="Y79" s="47">
        <v>34</v>
      </c>
      <c r="Z79" s="47">
        <v>10</v>
      </c>
      <c r="AA79" s="47">
        <v>5</v>
      </c>
      <c r="AB79" s="47">
        <v>11</v>
      </c>
    </row>
    <row r="80" spans="1:28">
      <c r="A80" s="34">
        <v>49</v>
      </c>
      <c r="B80" s="34">
        <v>1</v>
      </c>
      <c r="C80" s="34">
        <v>5</v>
      </c>
      <c r="D80" s="6">
        <v>9</v>
      </c>
      <c r="E80" s="6">
        <v>4</v>
      </c>
      <c r="F80" s="6">
        <v>0</v>
      </c>
      <c r="G80" s="6">
        <v>1</v>
      </c>
      <c r="H80" s="6">
        <v>0</v>
      </c>
      <c r="I80" s="34">
        <v>1</v>
      </c>
      <c r="J80" s="34">
        <v>0</v>
      </c>
      <c r="K80" s="34">
        <v>0</v>
      </c>
      <c r="L80" s="34">
        <v>2</v>
      </c>
      <c r="M80" s="34">
        <v>1</v>
      </c>
      <c r="N80" s="34">
        <v>0</v>
      </c>
      <c r="O80" s="34">
        <v>0</v>
      </c>
      <c r="P80" s="34">
        <v>200000</v>
      </c>
      <c r="Q80" s="34">
        <v>1</v>
      </c>
      <c r="R80" s="34">
        <v>0</v>
      </c>
      <c r="S80" s="34">
        <v>0</v>
      </c>
      <c r="T80" s="5">
        <v>25</v>
      </c>
      <c r="U80" s="5">
        <v>1</v>
      </c>
      <c r="V80" s="5">
        <v>0</v>
      </c>
      <c r="W80" s="38">
        <v>29</v>
      </c>
      <c r="X80" s="47">
        <v>24</v>
      </c>
      <c r="Y80" s="47">
        <v>18</v>
      </c>
      <c r="Z80" s="47">
        <v>12</v>
      </c>
      <c r="AA80" s="47">
        <v>1</v>
      </c>
      <c r="AB80" s="47">
        <v>10</v>
      </c>
    </row>
    <row r="81" spans="1:28">
      <c r="A81" s="34">
        <v>18</v>
      </c>
      <c r="B81" s="34">
        <v>1</v>
      </c>
      <c r="C81" s="34">
        <v>9</v>
      </c>
      <c r="D81" s="6">
        <v>4</v>
      </c>
      <c r="E81" s="6">
        <v>4</v>
      </c>
      <c r="F81" s="6">
        <v>0</v>
      </c>
      <c r="G81" s="6">
        <v>1</v>
      </c>
      <c r="H81" s="6">
        <v>0</v>
      </c>
      <c r="I81" s="34">
        <v>1</v>
      </c>
      <c r="J81" s="34">
        <v>0</v>
      </c>
      <c r="K81" s="34">
        <v>0</v>
      </c>
      <c r="L81" s="34">
        <v>2</v>
      </c>
      <c r="M81" s="34">
        <v>1</v>
      </c>
      <c r="N81" s="34">
        <v>0</v>
      </c>
      <c r="O81" s="34">
        <v>0</v>
      </c>
      <c r="P81" s="34">
        <v>600000</v>
      </c>
      <c r="Q81" s="34">
        <v>1</v>
      </c>
      <c r="R81" s="34">
        <v>0</v>
      </c>
      <c r="S81" s="34">
        <v>0</v>
      </c>
      <c r="T81" s="5">
        <v>25</v>
      </c>
      <c r="U81" s="5">
        <v>0</v>
      </c>
      <c r="V81" s="5">
        <v>1</v>
      </c>
      <c r="W81" s="38">
        <v>45</v>
      </c>
      <c r="X81" s="47">
        <v>36</v>
      </c>
      <c r="Y81" s="47">
        <v>23</v>
      </c>
      <c r="Z81" s="47">
        <v>22</v>
      </c>
      <c r="AA81" s="47">
        <v>8</v>
      </c>
      <c r="AB81" s="47">
        <v>12</v>
      </c>
    </row>
    <row r="82" spans="1:28">
      <c r="A82" s="34">
        <v>56</v>
      </c>
      <c r="B82" s="34">
        <v>1</v>
      </c>
      <c r="C82" s="34">
        <v>0</v>
      </c>
      <c r="D82" s="6">
        <v>3</v>
      </c>
      <c r="E82" s="6">
        <v>1</v>
      </c>
      <c r="F82" s="6">
        <v>1</v>
      </c>
      <c r="G82" s="6">
        <v>0</v>
      </c>
      <c r="H82" s="6">
        <v>0</v>
      </c>
      <c r="I82" s="34">
        <v>1</v>
      </c>
      <c r="J82" s="34">
        <v>0</v>
      </c>
      <c r="K82" s="34">
        <v>0</v>
      </c>
      <c r="L82" s="34">
        <v>2</v>
      </c>
      <c r="M82" s="34">
        <v>1</v>
      </c>
      <c r="N82" s="34">
        <v>0</v>
      </c>
      <c r="O82" s="34">
        <v>0</v>
      </c>
      <c r="P82" s="34">
        <v>400000</v>
      </c>
      <c r="Q82" s="34">
        <v>1</v>
      </c>
      <c r="R82" s="34">
        <v>0</v>
      </c>
      <c r="S82" s="34">
        <v>0</v>
      </c>
      <c r="T82" s="5">
        <v>28</v>
      </c>
      <c r="U82" s="5">
        <v>1</v>
      </c>
      <c r="V82" s="5">
        <v>0</v>
      </c>
      <c r="W82" s="38">
        <v>36</v>
      </c>
      <c r="X82" s="47">
        <v>5</v>
      </c>
      <c r="Y82" s="47">
        <v>0</v>
      </c>
      <c r="Z82" s="47">
        <v>13</v>
      </c>
      <c r="AA82" s="47">
        <v>6</v>
      </c>
      <c r="AB82" s="47">
        <v>10</v>
      </c>
    </row>
    <row r="83" spans="1:28">
      <c r="A83" s="34">
        <v>22</v>
      </c>
      <c r="B83" s="34">
        <v>1</v>
      </c>
      <c r="C83" s="34">
        <v>9</v>
      </c>
      <c r="D83" s="6">
        <v>10</v>
      </c>
      <c r="E83" s="6">
        <v>1</v>
      </c>
      <c r="F83" s="6">
        <v>1</v>
      </c>
      <c r="G83" s="6">
        <v>0</v>
      </c>
      <c r="H83" s="6">
        <v>0</v>
      </c>
      <c r="I83" s="34">
        <v>2</v>
      </c>
      <c r="J83" s="34">
        <v>1</v>
      </c>
      <c r="K83" s="34">
        <v>0</v>
      </c>
      <c r="L83" s="34">
        <v>2</v>
      </c>
      <c r="M83" s="34">
        <v>1</v>
      </c>
      <c r="N83" s="34">
        <v>0</v>
      </c>
      <c r="O83" s="34">
        <v>0</v>
      </c>
      <c r="P83" s="34">
        <v>50000</v>
      </c>
      <c r="Q83" s="34">
        <v>1</v>
      </c>
      <c r="R83" s="34">
        <v>0</v>
      </c>
      <c r="S83" s="34">
        <v>0</v>
      </c>
      <c r="T83" s="5">
        <v>22</v>
      </c>
      <c r="U83" s="5">
        <v>0</v>
      </c>
      <c r="V83" s="5">
        <v>1</v>
      </c>
      <c r="W83" s="38">
        <v>40</v>
      </c>
      <c r="X83" s="47">
        <v>33</v>
      </c>
      <c r="Y83" s="47">
        <v>21</v>
      </c>
      <c r="Z83" s="47">
        <v>26</v>
      </c>
      <c r="AA83" s="47">
        <v>10</v>
      </c>
      <c r="AB83" s="47">
        <v>12</v>
      </c>
    </row>
    <row r="84" spans="1:28">
      <c r="A84" s="34">
        <v>38</v>
      </c>
      <c r="B84" s="34">
        <v>1</v>
      </c>
      <c r="C84" s="34">
        <v>3</v>
      </c>
      <c r="D84" s="6">
        <v>1</v>
      </c>
      <c r="E84" s="6">
        <v>3</v>
      </c>
      <c r="F84" s="6">
        <v>0</v>
      </c>
      <c r="G84" s="6">
        <v>0</v>
      </c>
      <c r="H84" s="6">
        <v>1</v>
      </c>
      <c r="I84" s="34">
        <v>1</v>
      </c>
      <c r="J84" s="34">
        <v>0</v>
      </c>
      <c r="K84" s="34">
        <v>0</v>
      </c>
      <c r="L84" s="34">
        <v>2</v>
      </c>
      <c r="M84" s="34">
        <v>1</v>
      </c>
      <c r="N84" s="34">
        <v>0</v>
      </c>
      <c r="O84" s="34">
        <v>0</v>
      </c>
      <c r="P84" s="34">
        <v>300000</v>
      </c>
      <c r="Q84" s="34">
        <v>1</v>
      </c>
      <c r="R84" s="34">
        <v>0</v>
      </c>
      <c r="S84" s="34">
        <v>0</v>
      </c>
      <c r="T84" s="5">
        <v>22</v>
      </c>
      <c r="U84" s="5">
        <v>1</v>
      </c>
      <c r="V84" s="5">
        <v>0</v>
      </c>
      <c r="W84" s="38">
        <v>36</v>
      </c>
      <c r="X84" s="47">
        <v>36</v>
      </c>
      <c r="Y84" s="47">
        <v>30</v>
      </c>
      <c r="Z84" s="47">
        <v>20</v>
      </c>
      <c r="AA84" s="47">
        <v>9</v>
      </c>
      <c r="AB84" s="47">
        <v>11</v>
      </c>
    </row>
    <row r="85" spans="1:28">
      <c r="A85" s="34">
        <v>20</v>
      </c>
      <c r="B85" s="34">
        <v>0</v>
      </c>
      <c r="C85" s="34">
        <v>9</v>
      </c>
      <c r="D85" s="6">
        <v>1</v>
      </c>
      <c r="E85" s="6">
        <v>3</v>
      </c>
      <c r="F85" s="6">
        <v>0</v>
      </c>
      <c r="G85" s="6">
        <v>0</v>
      </c>
      <c r="H85" s="6">
        <v>1</v>
      </c>
      <c r="I85" s="34">
        <v>3</v>
      </c>
      <c r="J85" s="34">
        <v>0</v>
      </c>
      <c r="K85" s="34">
        <v>1</v>
      </c>
      <c r="L85" s="34">
        <v>2</v>
      </c>
      <c r="M85" s="34">
        <v>1</v>
      </c>
      <c r="N85" s="34">
        <v>0</v>
      </c>
      <c r="O85" s="34">
        <v>0</v>
      </c>
      <c r="P85" s="34">
        <v>150000</v>
      </c>
      <c r="Q85" s="34">
        <v>1</v>
      </c>
      <c r="R85" s="34">
        <v>0</v>
      </c>
      <c r="S85" s="34">
        <v>0</v>
      </c>
      <c r="T85" s="5">
        <v>20</v>
      </c>
      <c r="U85" s="5">
        <v>0</v>
      </c>
      <c r="V85" s="5">
        <v>0</v>
      </c>
      <c r="W85" s="38">
        <v>46</v>
      </c>
      <c r="X85" s="47">
        <v>33</v>
      </c>
      <c r="Y85" s="47">
        <v>28</v>
      </c>
      <c r="Z85" s="47">
        <v>21</v>
      </c>
      <c r="AA85" s="47">
        <v>9</v>
      </c>
      <c r="AB85" s="47">
        <v>9</v>
      </c>
    </row>
    <row r="86" spans="1:28">
      <c r="A86" s="34">
        <v>29</v>
      </c>
      <c r="B86" s="34">
        <v>1</v>
      </c>
      <c r="C86" s="34">
        <v>9</v>
      </c>
      <c r="D86" s="6">
        <v>11</v>
      </c>
      <c r="E86" s="6">
        <v>1</v>
      </c>
      <c r="F86" s="6">
        <v>1</v>
      </c>
      <c r="G86" s="6">
        <v>0</v>
      </c>
      <c r="H86" s="6">
        <v>0</v>
      </c>
      <c r="I86" s="34">
        <v>1</v>
      </c>
      <c r="J86" s="34">
        <v>0</v>
      </c>
      <c r="K86" s="34">
        <v>0</v>
      </c>
      <c r="L86" s="34">
        <v>2</v>
      </c>
      <c r="M86" s="34">
        <v>1</v>
      </c>
      <c r="N86" s="34">
        <v>0</v>
      </c>
      <c r="O86" s="34">
        <v>0</v>
      </c>
      <c r="P86" s="34">
        <v>100000</v>
      </c>
      <c r="Q86" s="34">
        <v>2</v>
      </c>
      <c r="R86" s="34">
        <v>1</v>
      </c>
      <c r="S86" s="34">
        <v>0</v>
      </c>
      <c r="T86" s="5">
        <v>25</v>
      </c>
      <c r="U86" s="5">
        <v>0</v>
      </c>
      <c r="V86" s="5">
        <v>0</v>
      </c>
      <c r="W86" s="38">
        <v>34</v>
      </c>
      <c r="X86" s="47">
        <v>31</v>
      </c>
      <c r="Y86" s="47">
        <v>22</v>
      </c>
      <c r="Z86" s="47">
        <v>23</v>
      </c>
      <c r="AA86" s="47">
        <v>11</v>
      </c>
      <c r="AB86" s="47">
        <v>11</v>
      </c>
    </row>
    <row r="87" spans="1:28">
      <c r="A87" s="34">
        <v>33</v>
      </c>
      <c r="B87" s="34">
        <v>1</v>
      </c>
      <c r="C87" s="34">
        <v>13</v>
      </c>
      <c r="D87" s="6">
        <v>5</v>
      </c>
      <c r="E87" s="6">
        <v>4</v>
      </c>
      <c r="F87" s="6">
        <v>0</v>
      </c>
      <c r="G87" s="6">
        <v>1</v>
      </c>
      <c r="H87" s="6">
        <v>0</v>
      </c>
      <c r="I87" s="34">
        <v>1</v>
      </c>
      <c r="J87" s="34">
        <v>0</v>
      </c>
      <c r="K87" s="34">
        <v>0</v>
      </c>
      <c r="L87" s="34">
        <v>2</v>
      </c>
      <c r="M87" s="34">
        <v>1</v>
      </c>
      <c r="N87" s="34">
        <v>0</v>
      </c>
      <c r="O87" s="34">
        <v>0</v>
      </c>
      <c r="P87" s="34">
        <v>850000</v>
      </c>
      <c r="Q87" s="34">
        <v>2</v>
      </c>
      <c r="R87" s="34">
        <v>1</v>
      </c>
      <c r="S87" s="34">
        <v>0</v>
      </c>
      <c r="T87" s="5">
        <v>23</v>
      </c>
      <c r="U87" s="5">
        <v>0</v>
      </c>
      <c r="V87" s="5">
        <v>1</v>
      </c>
      <c r="W87" s="38">
        <v>47</v>
      </c>
      <c r="X87" s="47">
        <v>32</v>
      </c>
      <c r="Y87" s="47">
        <v>27</v>
      </c>
      <c r="Z87" s="47">
        <v>20</v>
      </c>
      <c r="AA87" s="47">
        <v>9</v>
      </c>
      <c r="AB87" s="47">
        <v>11</v>
      </c>
    </row>
    <row r="88" spans="1:28">
      <c r="A88" s="34">
        <v>25</v>
      </c>
      <c r="B88" s="34">
        <v>0</v>
      </c>
      <c r="C88" s="34">
        <v>11</v>
      </c>
      <c r="D88" s="6">
        <v>1</v>
      </c>
      <c r="E88" s="6">
        <v>3</v>
      </c>
      <c r="F88" s="6">
        <v>0</v>
      </c>
      <c r="G88" s="6">
        <v>0</v>
      </c>
      <c r="H88" s="6">
        <v>1</v>
      </c>
      <c r="I88" s="34">
        <v>1</v>
      </c>
      <c r="J88" s="34">
        <v>0</v>
      </c>
      <c r="K88" s="34">
        <v>0</v>
      </c>
      <c r="L88" s="34">
        <v>2</v>
      </c>
      <c r="M88" s="34">
        <v>1</v>
      </c>
      <c r="N88" s="34">
        <v>0</v>
      </c>
      <c r="O88" s="34">
        <v>0</v>
      </c>
      <c r="P88" s="34">
        <v>100000</v>
      </c>
      <c r="Q88" s="34">
        <v>1</v>
      </c>
      <c r="R88" s="34">
        <v>0</v>
      </c>
      <c r="S88" s="34">
        <v>0</v>
      </c>
      <c r="T88" s="5">
        <v>26</v>
      </c>
      <c r="U88" s="5">
        <v>0</v>
      </c>
      <c r="V88" s="5">
        <v>0</v>
      </c>
      <c r="W88" s="38">
        <v>33</v>
      </c>
      <c r="X88" s="47">
        <v>34</v>
      </c>
      <c r="Y88" s="47">
        <v>14</v>
      </c>
      <c r="Z88" s="47">
        <v>18</v>
      </c>
      <c r="AA88" s="47">
        <v>7</v>
      </c>
      <c r="AB88" s="47">
        <v>10</v>
      </c>
    </row>
    <row r="89" spans="1:28">
      <c r="A89" s="34">
        <v>22</v>
      </c>
      <c r="B89" s="34">
        <v>1</v>
      </c>
      <c r="C89" s="34">
        <v>8</v>
      </c>
      <c r="D89" s="6">
        <v>1</v>
      </c>
      <c r="E89" s="6">
        <v>3</v>
      </c>
      <c r="F89" s="6">
        <v>0</v>
      </c>
      <c r="G89" s="6">
        <v>0</v>
      </c>
      <c r="H89" s="6">
        <v>1</v>
      </c>
      <c r="I89" s="34">
        <v>1</v>
      </c>
      <c r="J89" s="34">
        <v>0</v>
      </c>
      <c r="K89" s="34">
        <v>0</v>
      </c>
      <c r="L89" s="34">
        <v>2</v>
      </c>
      <c r="M89" s="34">
        <v>1</v>
      </c>
      <c r="N89" s="34">
        <v>0</v>
      </c>
      <c r="O89" s="34">
        <v>0</v>
      </c>
      <c r="P89" s="34">
        <v>120000</v>
      </c>
      <c r="Q89" s="34">
        <v>2</v>
      </c>
      <c r="R89" s="34">
        <v>1</v>
      </c>
      <c r="S89" s="34">
        <v>0</v>
      </c>
      <c r="T89" s="5">
        <v>25</v>
      </c>
      <c r="U89" s="5">
        <v>0</v>
      </c>
      <c r="V89" s="5">
        <v>0</v>
      </c>
      <c r="W89" s="38">
        <v>36</v>
      </c>
      <c r="X89" s="47">
        <v>30</v>
      </c>
      <c r="Y89" s="47">
        <v>22</v>
      </c>
      <c r="Z89" s="47">
        <v>14</v>
      </c>
      <c r="AA89" s="47">
        <v>2</v>
      </c>
      <c r="AB89" s="47">
        <v>12</v>
      </c>
    </row>
  </sheetData>
  <dataValidations count="2">
    <dataValidation type="whole" allowBlank="1" showInputMessage="1" showErrorMessage="1" sqref="AA2:AB7 AA78:AB86 AA59:AB62" xr:uid="{00000000-0002-0000-0200-000000000000}">
      <formula1>0</formula1>
      <formula2>12</formula2>
    </dataValidation>
    <dataValidation type="whole" allowBlank="1" showInputMessage="1" showErrorMessage="1" sqref="X2:Y7 X35:Y37 X39:Y39 X78:Y86 X59:Y62 X27:Y33" xr:uid="{00000000-0002-0000-0200-000001000000}">
      <formula1>0</formula1>
      <formula2>36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01"/>
  <sheetViews>
    <sheetView zoomScaleNormal="100" workbookViewId="0">
      <selection activeCell="AH1" sqref="AH1:AH1048576"/>
    </sheetView>
  </sheetViews>
  <sheetFormatPr baseColWidth="10" defaultColWidth="8.42578125" defaultRowHeight="15"/>
  <cols>
    <col min="3" max="3" width="13" bestFit="1" customWidth="1"/>
    <col min="4" max="4" width="13.85546875" customWidth="1"/>
    <col min="6" max="6" width="10.42578125" customWidth="1"/>
    <col min="7" max="7" width="17.42578125" customWidth="1"/>
    <col min="8" max="8" width="12.140625" customWidth="1"/>
    <col min="10" max="10" width="12.7109375" customWidth="1"/>
    <col min="11" max="11" width="10.7109375" customWidth="1"/>
    <col min="12" max="12" width="10.7109375" style="35" customWidth="1"/>
    <col min="13" max="13" width="9.7109375" style="17" customWidth="1"/>
    <col min="14" max="14" width="12.28515625" hidden="1" customWidth="1"/>
    <col min="15" max="22" width="0" style="2" hidden="1" customWidth="1"/>
    <col min="23" max="24" width="8.42578125" style="2"/>
    <col min="25" max="29" width="0" style="2" hidden="1" customWidth="1"/>
    <col min="30" max="16384" width="8.42578125" style="2"/>
  </cols>
  <sheetData>
    <row r="1" spans="1:54" s="1" customFormat="1" ht="75">
      <c r="A1" s="8" t="s">
        <v>0</v>
      </c>
      <c r="B1" s="8" t="s">
        <v>1</v>
      </c>
      <c r="C1" s="8" t="s">
        <v>81</v>
      </c>
      <c r="D1" s="8" t="s">
        <v>88</v>
      </c>
      <c r="E1" s="8" t="s">
        <v>82</v>
      </c>
      <c r="F1" s="8" t="s">
        <v>83</v>
      </c>
      <c r="G1" s="8" t="s">
        <v>84</v>
      </c>
      <c r="H1" s="8" t="s">
        <v>85</v>
      </c>
      <c r="I1" s="9" t="s">
        <v>73</v>
      </c>
      <c r="J1" s="9" t="s">
        <v>74</v>
      </c>
      <c r="K1" s="9" t="s">
        <v>86</v>
      </c>
      <c r="L1" s="9" t="s">
        <v>147</v>
      </c>
      <c r="M1" s="16" t="s">
        <v>87</v>
      </c>
      <c r="N1" s="10" t="s">
        <v>75</v>
      </c>
      <c r="O1" s="11" t="s">
        <v>89</v>
      </c>
      <c r="P1" s="11" t="s">
        <v>90</v>
      </c>
      <c r="Q1" s="11" t="s">
        <v>76</v>
      </c>
      <c r="R1" s="11" t="s">
        <v>91</v>
      </c>
      <c r="S1" s="11" t="s">
        <v>77</v>
      </c>
      <c r="T1" s="11" t="s">
        <v>78</v>
      </c>
      <c r="U1" s="11" t="s">
        <v>79</v>
      </c>
      <c r="V1" s="11" t="s">
        <v>80</v>
      </c>
      <c r="W1" s="39" t="s">
        <v>107</v>
      </c>
      <c r="X1" s="39" t="s">
        <v>108</v>
      </c>
      <c r="Y1" s="40" t="s">
        <v>102</v>
      </c>
      <c r="Z1" s="40" t="s">
        <v>103</v>
      </c>
      <c r="AA1" s="40" t="s">
        <v>104</v>
      </c>
      <c r="AB1" s="49" t="s">
        <v>105</v>
      </c>
      <c r="AC1" s="49" t="s">
        <v>106</v>
      </c>
      <c r="AD1" s="41" t="s">
        <v>109</v>
      </c>
      <c r="AE1" s="41" t="s">
        <v>110</v>
      </c>
      <c r="AF1" s="41" t="s">
        <v>111</v>
      </c>
      <c r="AG1" s="41" t="s">
        <v>112</v>
      </c>
      <c r="AH1" s="41" t="s">
        <v>113</v>
      </c>
      <c r="AI1" s="41" t="s">
        <v>114</v>
      </c>
      <c r="AJ1" s="41" t="s">
        <v>116</v>
      </c>
      <c r="AK1" s="41" t="s">
        <v>115</v>
      </c>
      <c r="AL1" s="41" t="s">
        <v>117</v>
      </c>
      <c r="AM1" s="42" t="s">
        <v>92</v>
      </c>
      <c r="AN1" s="42" t="s">
        <v>93</v>
      </c>
      <c r="AO1" s="42" t="s">
        <v>94</v>
      </c>
      <c r="AP1" s="42" t="s">
        <v>118</v>
      </c>
      <c r="AQ1" s="42" t="s">
        <v>95</v>
      </c>
      <c r="AR1" s="43" t="s">
        <v>119</v>
      </c>
      <c r="AS1" s="43" t="s">
        <v>120</v>
      </c>
      <c r="AT1" s="43" t="s">
        <v>96</v>
      </c>
      <c r="AU1" s="43" t="s">
        <v>97</v>
      </c>
      <c r="AV1" s="40" t="s">
        <v>121</v>
      </c>
      <c r="AW1" s="40" t="s">
        <v>122</v>
      </c>
      <c r="AX1" s="44" t="s">
        <v>98</v>
      </c>
      <c r="AY1" s="44" t="s">
        <v>99</v>
      </c>
      <c r="AZ1" s="44" t="s">
        <v>32</v>
      </c>
      <c r="BA1" s="45" t="s">
        <v>100</v>
      </c>
      <c r="BB1" s="45" t="s">
        <v>101</v>
      </c>
    </row>
    <row r="2" spans="1:54" customFormat="1">
      <c r="A2" s="7">
        <v>25</v>
      </c>
      <c r="B2" s="7">
        <v>1</v>
      </c>
      <c r="C2" s="34">
        <v>0</v>
      </c>
      <c r="D2" s="6">
        <v>1</v>
      </c>
      <c r="E2" s="7">
        <v>1</v>
      </c>
      <c r="F2" s="7">
        <v>2</v>
      </c>
      <c r="G2" s="7">
        <v>50000</v>
      </c>
      <c r="H2" s="7">
        <v>1</v>
      </c>
      <c r="I2" s="5">
        <v>25</v>
      </c>
      <c r="J2" s="5">
        <v>1</v>
      </c>
      <c r="K2" s="5">
        <v>0</v>
      </c>
      <c r="L2" s="72">
        <f>M2/16</f>
        <v>1.625</v>
      </c>
      <c r="M2" s="38">
        <v>26</v>
      </c>
      <c r="N2" s="18">
        <v>60.875</v>
      </c>
      <c r="O2" s="4">
        <v>2.5999999999999998E-4</v>
      </c>
      <c r="P2" s="4">
        <v>4.2727000000000001E-2</v>
      </c>
      <c r="Q2" s="4">
        <v>0</v>
      </c>
      <c r="R2" s="4">
        <v>0</v>
      </c>
      <c r="S2" s="33">
        <v>-4.5562290000000001</v>
      </c>
      <c r="T2" s="33">
        <v>-3.3344939999999998</v>
      </c>
      <c r="U2" s="32">
        <v>-4.47</v>
      </c>
      <c r="V2" s="33">
        <v>-10.199595</v>
      </c>
      <c r="W2" s="47">
        <v>18</v>
      </c>
      <c r="X2" s="47">
        <v>5</v>
      </c>
      <c r="Y2" s="36">
        <v>2</v>
      </c>
      <c r="Z2" s="36">
        <v>4</v>
      </c>
      <c r="AA2" s="36">
        <v>5</v>
      </c>
      <c r="AB2" s="36">
        <v>10</v>
      </c>
      <c r="AC2" s="36">
        <v>8</v>
      </c>
      <c r="AD2" s="47">
        <v>3</v>
      </c>
      <c r="AE2" s="47">
        <v>2</v>
      </c>
      <c r="AF2" s="47">
        <v>3</v>
      </c>
      <c r="AG2" s="47">
        <f t="shared" ref="AG2:AG13" si="0">SUM(AD2:AF2)</f>
        <v>8</v>
      </c>
      <c r="AH2" s="47">
        <v>4</v>
      </c>
      <c r="AI2" s="47">
        <v>8</v>
      </c>
      <c r="AJ2" s="47">
        <v>1</v>
      </c>
      <c r="AK2" s="47">
        <v>0</v>
      </c>
      <c r="AL2" s="47">
        <f t="shared" ref="AL2:AL3" si="1">SUM(AJ2:AK2)</f>
        <v>1</v>
      </c>
      <c r="AM2" s="47">
        <v>21</v>
      </c>
      <c r="AN2" s="47">
        <v>20</v>
      </c>
      <c r="AO2" s="47">
        <v>15</v>
      </c>
      <c r="AP2" s="48">
        <f t="shared" ref="AP2:AQ21" si="2">(AM2*AN2)/(AM2+AN2)</f>
        <v>10.24390243902439</v>
      </c>
      <c r="AQ2" s="48">
        <f t="shared" ref="AQ2:AQ11" si="3">AO2-AP2</f>
        <v>4.7560975609756095</v>
      </c>
      <c r="AR2" s="47">
        <v>1</v>
      </c>
      <c r="AS2" s="36">
        <v>18</v>
      </c>
      <c r="AT2" s="36">
        <v>21</v>
      </c>
      <c r="AU2" s="36">
        <f t="shared" ref="AU2:AU3" si="4">SUM(AS2:AT2)</f>
        <v>39</v>
      </c>
      <c r="AV2" s="36">
        <v>105</v>
      </c>
      <c r="AW2" s="36">
        <v>356</v>
      </c>
      <c r="AX2" s="47">
        <v>2</v>
      </c>
      <c r="AY2" s="47">
        <v>1</v>
      </c>
      <c r="AZ2" s="47">
        <f t="shared" ref="AZ2:AZ9" si="5">SUM(AX2:AY2)</f>
        <v>3</v>
      </c>
      <c r="BA2" s="47">
        <v>4</v>
      </c>
      <c r="BB2" s="36">
        <v>4</v>
      </c>
    </row>
    <row r="3" spans="1:54" customFormat="1">
      <c r="A3" s="7">
        <v>56</v>
      </c>
      <c r="B3" s="7">
        <v>2</v>
      </c>
      <c r="C3" s="34">
        <v>0</v>
      </c>
      <c r="D3" s="6">
        <v>2</v>
      </c>
      <c r="E3" s="7">
        <v>1</v>
      </c>
      <c r="F3" s="7">
        <v>1</v>
      </c>
      <c r="G3" s="7">
        <v>100000</v>
      </c>
      <c r="H3" s="7">
        <v>1</v>
      </c>
      <c r="I3" s="5">
        <v>23</v>
      </c>
      <c r="J3" s="5">
        <v>1</v>
      </c>
      <c r="K3" s="5">
        <v>0</v>
      </c>
      <c r="L3" s="72">
        <f t="shared" ref="L3:L66" si="6">M3/16</f>
        <v>1.625</v>
      </c>
      <c r="M3" s="38">
        <v>26</v>
      </c>
      <c r="N3" s="18">
        <v>71.625</v>
      </c>
      <c r="O3" s="4">
        <v>0.72764300000000004</v>
      </c>
      <c r="P3" s="4">
        <v>0.224191</v>
      </c>
      <c r="Q3" s="4">
        <v>0.06</v>
      </c>
      <c r="R3" s="4">
        <v>0</v>
      </c>
      <c r="S3" s="33">
        <v>-2.4433189999999998</v>
      </c>
      <c r="T3" s="33">
        <v>-2.841952</v>
      </c>
      <c r="U3" s="32">
        <v>-3.24</v>
      </c>
      <c r="V3" s="33">
        <v>-7.1298640000000004</v>
      </c>
      <c r="W3" s="47">
        <v>15</v>
      </c>
      <c r="X3" s="47">
        <v>8</v>
      </c>
      <c r="Y3" s="36">
        <v>3</v>
      </c>
      <c r="Z3" s="36">
        <v>2</v>
      </c>
      <c r="AA3" s="36">
        <v>4</v>
      </c>
      <c r="AB3" s="36">
        <v>9</v>
      </c>
      <c r="AC3" s="36">
        <v>8</v>
      </c>
      <c r="AD3" s="47">
        <v>4</v>
      </c>
      <c r="AE3" s="47">
        <v>4</v>
      </c>
      <c r="AF3" s="47">
        <v>5</v>
      </c>
      <c r="AG3" s="47">
        <f t="shared" si="0"/>
        <v>13</v>
      </c>
      <c r="AH3" s="47">
        <v>4</v>
      </c>
      <c r="AI3" s="47">
        <v>5</v>
      </c>
      <c r="AJ3" s="47">
        <v>2</v>
      </c>
      <c r="AK3" s="47">
        <v>1</v>
      </c>
      <c r="AL3" s="47">
        <f t="shared" si="1"/>
        <v>3</v>
      </c>
      <c r="AM3" s="47">
        <v>15</v>
      </c>
      <c r="AN3" s="47">
        <v>12</v>
      </c>
      <c r="AO3" s="47">
        <v>10</v>
      </c>
      <c r="AP3" s="48">
        <f t="shared" si="2"/>
        <v>6.666666666666667</v>
      </c>
      <c r="AQ3" s="48">
        <f t="shared" si="3"/>
        <v>3.333333333333333</v>
      </c>
      <c r="AR3" s="47">
        <v>0</v>
      </c>
      <c r="AS3" s="36">
        <v>20</v>
      </c>
      <c r="AT3" s="36">
        <v>15</v>
      </c>
      <c r="AU3" s="36">
        <f t="shared" si="4"/>
        <v>35</v>
      </c>
      <c r="AV3" s="36">
        <v>150</v>
      </c>
      <c r="AW3" s="36">
        <v>272</v>
      </c>
      <c r="AX3" s="47">
        <v>3</v>
      </c>
      <c r="AY3" s="47">
        <v>2</v>
      </c>
      <c r="AZ3" s="47">
        <f t="shared" si="5"/>
        <v>5</v>
      </c>
      <c r="BA3" s="47">
        <v>8</v>
      </c>
      <c r="BB3" s="36">
        <v>3</v>
      </c>
    </row>
    <row r="4" spans="1:54" customFormat="1">
      <c r="A4" s="7">
        <v>24</v>
      </c>
      <c r="B4" s="7">
        <v>1</v>
      </c>
      <c r="C4" s="34">
        <v>9</v>
      </c>
      <c r="D4" s="6">
        <v>1</v>
      </c>
      <c r="E4" s="7">
        <v>1</v>
      </c>
      <c r="F4" s="7">
        <v>2</v>
      </c>
      <c r="G4" s="7">
        <v>100000</v>
      </c>
      <c r="H4" s="7">
        <v>1</v>
      </c>
      <c r="I4" s="5">
        <v>25</v>
      </c>
      <c r="J4" s="5">
        <v>0</v>
      </c>
      <c r="K4" s="5">
        <v>0</v>
      </c>
      <c r="L4" s="72">
        <f t="shared" si="6"/>
        <v>2.0625</v>
      </c>
      <c r="M4" s="38">
        <v>33</v>
      </c>
      <c r="N4" s="18">
        <v>97.75</v>
      </c>
      <c r="O4" s="4">
        <v>89.372579999999999</v>
      </c>
      <c r="P4" s="4">
        <v>8.2830139999999997</v>
      </c>
      <c r="Q4" s="4">
        <v>5.58</v>
      </c>
      <c r="R4" s="4">
        <v>10.184801999999999</v>
      </c>
      <c r="S4" s="33">
        <v>1.2465889999999999</v>
      </c>
      <c r="T4" s="33">
        <v>-1.3862840000000001</v>
      </c>
      <c r="U4" s="32">
        <v>-1.59</v>
      </c>
      <c r="V4" s="33">
        <v>-1.2710920000000001</v>
      </c>
      <c r="W4" s="47">
        <v>35</v>
      </c>
      <c r="X4" s="47">
        <v>30</v>
      </c>
      <c r="Y4" s="47">
        <v>7</v>
      </c>
      <c r="Z4" s="47">
        <v>5</v>
      </c>
      <c r="AA4" s="47">
        <v>7</v>
      </c>
      <c r="AB4" s="47">
        <v>13</v>
      </c>
      <c r="AC4" s="47">
        <v>14</v>
      </c>
      <c r="AD4" s="47">
        <v>2</v>
      </c>
      <c r="AE4" s="47">
        <v>6</v>
      </c>
      <c r="AF4" s="47">
        <v>10</v>
      </c>
      <c r="AG4" s="47">
        <f t="shared" si="0"/>
        <v>18</v>
      </c>
      <c r="AH4" s="47">
        <v>9</v>
      </c>
      <c r="AI4" s="47">
        <v>12</v>
      </c>
      <c r="AJ4" s="47">
        <v>2</v>
      </c>
      <c r="AK4" s="47">
        <v>0</v>
      </c>
      <c r="AL4" s="47">
        <f>SUM(AJ4:AK4)</f>
        <v>2</v>
      </c>
      <c r="AM4" s="47">
        <v>95</v>
      </c>
      <c r="AN4" s="47">
        <v>76</v>
      </c>
      <c r="AO4" s="47">
        <v>51</v>
      </c>
      <c r="AP4" s="48">
        <f t="shared" si="2"/>
        <v>42.222222222222221</v>
      </c>
      <c r="AQ4" s="48">
        <f t="shared" si="3"/>
        <v>8.7777777777777786</v>
      </c>
      <c r="AR4" s="47">
        <v>1</v>
      </c>
      <c r="AS4" s="47">
        <v>15</v>
      </c>
      <c r="AT4" s="47">
        <v>19</v>
      </c>
      <c r="AU4" s="36">
        <f>SUM(AS4:AT4)</f>
        <v>34</v>
      </c>
      <c r="AV4" s="47">
        <v>70</v>
      </c>
      <c r="AW4" s="47">
        <v>201</v>
      </c>
      <c r="AX4" s="47">
        <v>6</v>
      </c>
      <c r="AY4" s="47">
        <v>8</v>
      </c>
      <c r="AZ4" s="47">
        <f t="shared" si="5"/>
        <v>14</v>
      </c>
      <c r="BA4" s="47">
        <v>33</v>
      </c>
      <c r="BB4" s="47">
        <v>4</v>
      </c>
    </row>
    <row r="5" spans="1:54" customFormat="1">
      <c r="A5" s="7">
        <v>24</v>
      </c>
      <c r="B5" s="7">
        <v>2</v>
      </c>
      <c r="C5" s="34">
        <v>5</v>
      </c>
      <c r="D5" s="6">
        <v>2</v>
      </c>
      <c r="E5" s="7">
        <v>1</v>
      </c>
      <c r="F5" s="7">
        <v>2</v>
      </c>
      <c r="G5" s="7">
        <v>80000</v>
      </c>
      <c r="H5" s="7">
        <v>1</v>
      </c>
      <c r="I5" s="5">
        <v>22</v>
      </c>
      <c r="J5" s="5">
        <v>1</v>
      </c>
      <c r="K5" s="5">
        <v>0</v>
      </c>
      <c r="L5" s="72">
        <f t="shared" si="6"/>
        <v>3.0625</v>
      </c>
      <c r="M5" s="38">
        <v>49</v>
      </c>
      <c r="N5" s="18">
        <v>59.9375</v>
      </c>
      <c r="O5" s="4">
        <v>7.2580660000000004</v>
      </c>
      <c r="P5" s="4">
        <v>11.320816000000001</v>
      </c>
      <c r="Q5" s="4">
        <v>0.55000000000000004</v>
      </c>
      <c r="R5" s="4">
        <v>0</v>
      </c>
      <c r="S5" s="33">
        <v>-1.4568369999999999</v>
      </c>
      <c r="T5" s="33">
        <v>-1.2096420000000001</v>
      </c>
      <c r="U5" s="32">
        <v>-2.54</v>
      </c>
      <c r="V5" s="33">
        <v>-6.3138420000000002</v>
      </c>
      <c r="W5" s="47">
        <v>29</v>
      </c>
      <c r="X5" s="47">
        <v>16</v>
      </c>
      <c r="Y5" s="47">
        <v>7</v>
      </c>
      <c r="Z5" s="47">
        <v>9</v>
      </c>
      <c r="AA5" s="47">
        <v>5</v>
      </c>
      <c r="AB5" s="47">
        <v>13</v>
      </c>
      <c r="AC5" s="47">
        <v>12</v>
      </c>
      <c r="AD5" s="47">
        <v>4</v>
      </c>
      <c r="AE5" s="47">
        <v>4</v>
      </c>
      <c r="AF5" s="47">
        <v>5</v>
      </c>
      <c r="AG5" s="47">
        <f t="shared" si="0"/>
        <v>13</v>
      </c>
      <c r="AH5" s="47">
        <v>7</v>
      </c>
      <c r="AI5" s="47">
        <v>10</v>
      </c>
      <c r="AJ5" s="47">
        <v>2</v>
      </c>
      <c r="AK5" s="47">
        <v>1</v>
      </c>
      <c r="AL5" s="47">
        <f t="shared" ref="AL5:AL89" si="7">SUM(AJ5:AK5)</f>
        <v>3</v>
      </c>
      <c r="AM5" s="47">
        <v>58</v>
      </c>
      <c r="AN5" s="47">
        <v>50</v>
      </c>
      <c r="AO5" s="47">
        <v>24</v>
      </c>
      <c r="AP5" s="48">
        <f t="shared" si="2"/>
        <v>26.851851851851851</v>
      </c>
      <c r="AQ5" s="48">
        <f t="shared" si="3"/>
        <v>-2.8518518518518512</v>
      </c>
      <c r="AR5" s="47">
        <v>1</v>
      </c>
      <c r="AS5" s="47">
        <v>7</v>
      </c>
      <c r="AT5" s="47">
        <v>12</v>
      </c>
      <c r="AU5" s="36">
        <f>SUM(AS5:AT5)</f>
        <v>19</v>
      </c>
      <c r="AV5" s="47">
        <v>126</v>
      </c>
      <c r="AW5" s="47">
        <v>317</v>
      </c>
      <c r="AX5" s="47">
        <v>4</v>
      </c>
      <c r="AY5" s="47">
        <v>7</v>
      </c>
      <c r="AZ5" s="47">
        <f t="shared" si="5"/>
        <v>11</v>
      </c>
      <c r="BA5" s="47">
        <v>29</v>
      </c>
      <c r="BB5" s="47">
        <v>0</v>
      </c>
    </row>
    <row r="6" spans="1:54" customFormat="1">
      <c r="A6" s="7">
        <v>30</v>
      </c>
      <c r="B6" s="7">
        <v>1</v>
      </c>
      <c r="C6" s="34">
        <v>11</v>
      </c>
      <c r="D6" s="6">
        <v>1</v>
      </c>
      <c r="E6" s="7">
        <v>1</v>
      </c>
      <c r="F6" s="7">
        <v>2</v>
      </c>
      <c r="G6" s="7">
        <v>50000</v>
      </c>
      <c r="H6" s="7">
        <v>1</v>
      </c>
      <c r="I6" s="5">
        <v>21</v>
      </c>
      <c r="J6" s="5">
        <v>0</v>
      </c>
      <c r="K6" s="5">
        <v>0</v>
      </c>
      <c r="L6" s="72">
        <f t="shared" si="6"/>
        <v>2.6875</v>
      </c>
      <c r="M6" s="38">
        <v>43</v>
      </c>
      <c r="N6" s="18">
        <v>75.9375</v>
      </c>
      <c r="O6" s="4">
        <v>48.820768000000001</v>
      </c>
      <c r="P6" s="4">
        <v>55.804772</v>
      </c>
      <c r="Q6" s="4">
        <v>0.03</v>
      </c>
      <c r="R6" s="4">
        <v>41.582335999999998</v>
      </c>
      <c r="S6" s="33">
        <v>-2.9562999999999999E-2</v>
      </c>
      <c r="T6" s="33">
        <v>0.14602100000000001</v>
      </c>
      <c r="U6" s="32">
        <v>-3.4</v>
      </c>
      <c r="V6" s="33">
        <v>-0.21259</v>
      </c>
      <c r="W6" s="47">
        <v>34</v>
      </c>
      <c r="X6" s="47">
        <v>21</v>
      </c>
      <c r="Y6" s="47">
        <v>9</v>
      </c>
      <c r="Z6" s="47">
        <v>8</v>
      </c>
      <c r="AA6" s="47">
        <v>11</v>
      </c>
      <c r="AB6" s="47">
        <v>17</v>
      </c>
      <c r="AC6" s="47">
        <v>15</v>
      </c>
      <c r="AD6" s="47">
        <v>4</v>
      </c>
      <c r="AE6" s="47">
        <v>6</v>
      </c>
      <c r="AF6" s="47">
        <v>6</v>
      </c>
      <c r="AG6" s="47">
        <f t="shared" si="0"/>
        <v>16</v>
      </c>
      <c r="AH6" s="47">
        <v>7</v>
      </c>
      <c r="AI6" s="47">
        <v>11</v>
      </c>
      <c r="AJ6" s="47">
        <v>3</v>
      </c>
      <c r="AK6" s="47">
        <v>0</v>
      </c>
      <c r="AL6" s="47">
        <f t="shared" si="7"/>
        <v>3</v>
      </c>
      <c r="AM6" s="47">
        <v>100</v>
      </c>
      <c r="AN6" s="47">
        <v>63</v>
      </c>
      <c r="AO6" s="47">
        <v>29</v>
      </c>
      <c r="AP6" s="48">
        <f t="shared" si="2"/>
        <v>38.650306748466257</v>
      </c>
      <c r="AQ6" s="48">
        <f t="shared" si="3"/>
        <v>-9.6503067484662566</v>
      </c>
      <c r="AR6" s="47">
        <v>1</v>
      </c>
      <c r="AS6" s="47">
        <v>17</v>
      </c>
      <c r="AT6" s="47">
        <v>12</v>
      </c>
      <c r="AU6" s="36">
        <f>SUM(AS6:AT6)</f>
        <v>29</v>
      </c>
      <c r="AV6" s="47">
        <v>95</v>
      </c>
      <c r="AW6" s="47">
        <v>168</v>
      </c>
      <c r="AX6" s="47">
        <v>9</v>
      </c>
      <c r="AY6" s="47">
        <v>9</v>
      </c>
      <c r="AZ6" s="47">
        <f t="shared" si="5"/>
        <v>18</v>
      </c>
      <c r="BA6" s="47">
        <v>41</v>
      </c>
      <c r="BB6" s="47">
        <v>0</v>
      </c>
    </row>
    <row r="7" spans="1:54" customFormat="1">
      <c r="A7" s="7">
        <v>49</v>
      </c>
      <c r="B7" s="7">
        <v>1</v>
      </c>
      <c r="C7" s="34">
        <v>0</v>
      </c>
      <c r="D7" s="6">
        <v>3</v>
      </c>
      <c r="E7" s="7">
        <v>1</v>
      </c>
      <c r="F7" s="7">
        <v>2</v>
      </c>
      <c r="G7" s="7">
        <v>200000</v>
      </c>
      <c r="H7" s="7">
        <v>1</v>
      </c>
      <c r="I7" s="5">
        <v>20</v>
      </c>
      <c r="J7" s="5">
        <v>1</v>
      </c>
      <c r="K7" s="5">
        <v>0</v>
      </c>
      <c r="L7" s="72">
        <f t="shared" si="6"/>
        <v>2.875</v>
      </c>
      <c r="M7" s="38">
        <v>46</v>
      </c>
      <c r="N7" s="18">
        <v>73.625</v>
      </c>
      <c r="O7" s="4">
        <v>45.417692000000002</v>
      </c>
      <c r="P7" s="4">
        <v>11.830692000000001</v>
      </c>
      <c r="Q7" s="4">
        <v>46.53</v>
      </c>
      <c r="R7" s="4">
        <v>0</v>
      </c>
      <c r="S7" s="33">
        <v>-0.115115</v>
      </c>
      <c r="T7" s="33">
        <v>-1.1834929999999999</v>
      </c>
      <c r="U7" s="32">
        <v>-0.09</v>
      </c>
      <c r="V7" s="33">
        <v>-8.3104320000000005</v>
      </c>
      <c r="W7" s="47">
        <v>32</v>
      </c>
      <c r="X7" s="47">
        <v>8</v>
      </c>
      <c r="Y7" s="47">
        <v>7</v>
      </c>
      <c r="Z7" s="47">
        <v>7</v>
      </c>
      <c r="AA7" s="47">
        <v>9</v>
      </c>
      <c r="AB7" s="47">
        <v>11</v>
      </c>
      <c r="AC7" s="47">
        <v>11</v>
      </c>
      <c r="AD7" s="47">
        <v>5</v>
      </c>
      <c r="AE7" s="47">
        <v>4</v>
      </c>
      <c r="AF7" s="47">
        <v>8</v>
      </c>
      <c r="AG7" s="47">
        <f t="shared" si="0"/>
        <v>17</v>
      </c>
      <c r="AH7" s="47">
        <v>8</v>
      </c>
      <c r="AI7" s="47">
        <v>11</v>
      </c>
      <c r="AJ7" s="47">
        <v>4</v>
      </c>
      <c r="AK7" s="47">
        <v>1</v>
      </c>
      <c r="AL7" s="47">
        <f t="shared" si="7"/>
        <v>5</v>
      </c>
      <c r="AM7" s="47">
        <v>48</v>
      </c>
      <c r="AN7" s="47">
        <v>60</v>
      </c>
      <c r="AO7" s="47">
        <v>60</v>
      </c>
      <c r="AP7" s="48">
        <f t="shared" si="2"/>
        <v>26.666666666666668</v>
      </c>
      <c r="AQ7" s="48">
        <f t="shared" si="3"/>
        <v>33.333333333333329</v>
      </c>
      <c r="AR7" s="47">
        <v>1</v>
      </c>
      <c r="AS7" s="47">
        <v>21</v>
      </c>
      <c r="AT7" s="47">
        <v>16</v>
      </c>
      <c r="AU7" s="36">
        <f t="shared" ref="AU7:AU14" si="8">SUM(AS7:AT7)</f>
        <v>37</v>
      </c>
      <c r="AV7" s="47">
        <v>200</v>
      </c>
      <c r="AW7" s="47">
        <v>577</v>
      </c>
      <c r="AX7" s="47">
        <v>1</v>
      </c>
      <c r="AY7" s="47">
        <v>1</v>
      </c>
      <c r="AZ7" s="47">
        <f t="shared" si="5"/>
        <v>2</v>
      </c>
      <c r="BA7" s="47">
        <v>6</v>
      </c>
      <c r="BB7" s="47">
        <v>2</v>
      </c>
    </row>
    <row r="8" spans="1:54" customFormat="1">
      <c r="A8" s="7">
        <v>18</v>
      </c>
      <c r="B8" s="7">
        <v>1</v>
      </c>
      <c r="C8" s="34">
        <v>7</v>
      </c>
      <c r="D8" s="6">
        <v>4</v>
      </c>
      <c r="E8" s="7">
        <v>2</v>
      </c>
      <c r="F8" s="7">
        <v>1</v>
      </c>
      <c r="G8" s="7">
        <v>100000</v>
      </c>
      <c r="H8" s="7">
        <v>1</v>
      </c>
      <c r="I8" s="5">
        <v>19</v>
      </c>
      <c r="J8" s="5">
        <v>0</v>
      </c>
      <c r="K8" s="5">
        <v>1</v>
      </c>
      <c r="L8" s="72">
        <f t="shared" si="6"/>
        <v>2.5625</v>
      </c>
      <c r="M8" s="38">
        <v>41</v>
      </c>
      <c r="N8" s="18">
        <v>71.020833333333343</v>
      </c>
      <c r="O8" s="4">
        <v>8.1685999999999995E-2</v>
      </c>
      <c r="P8" s="4">
        <v>4.6958E-2</v>
      </c>
      <c r="Q8" s="4">
        <v>1.1100000000000001</v>
      </c>
      <c r="R8" s="4">
        <v>0</v>
      </c>
      <c r="S8" s="33">
        <v>-3.1498189999999999</v>
      </c>
      <c r="T8" s="33">
        <v>-3.3081450000000001</v>
      </c>
      <c r="U8" s="32">
        <v>-2.29</v>
      </c>
      <c r="V8" s="33">
        <v>-8.3809339999999999</v>
      </c>
      <c r="W8" s="47">
        <v>29</v>
      </c>
      <c r="X8" s="47">
        <v>12</v>
      </c>
      <c r="Y8" s="47">
        <v>3</v>
      </c>
      <c r="Z8" s="47">
        <v>3</v>
      </c>
      <c r="AA8" s="47">
        <v>2</v>
      </c>
      <c r="AB8" s="47">
        <v>12</v>
      </c>
      <c r="AC8" s="47">
        <v>9</v>
      </c>
      <c r="AD8" s="47">
        <v>1</v>
      </c>
      <c r="AE8" s="47">
        <v>3</v>
      </c>
      <c r="AF8" s="47">
        <v>4</v>
      </c>
      <c r="AG8" s="47">
        <f t="shared" si="0"/>
        <v>8</v>
      </c>
      <c r="AH8" s="47">
        <v>3</v>
      </c>
      <c r="AI8" s="47">
        <v>9</v>
      </c>
      <c r="AJ8" s="47">
        <v>0</v>
      </c>
      <c r="AK8" s="47">
        <v>0</v>
      </c>
      <c r="AL8" s="47">
        <f>SUM(AJ8:AK8)</f>
        <v>0</v>
      </c>
      <c r="AM8" s="47">
        <v>34</v>
      </c>
      <c r="AN8" s="47">
        <v>40</v>
      </c>
      <c r="AO8" s="47">
        <v>30</v>
      </c>
      <c r="AP8" s="48">
        <f t="shared" si="2"/>
        <v>18.378378378378379</v>
      </c>
      <c r="AQ8" s="48">
        <f t="shared" si="3"/>
        <v>11.621621621621621</v>
      </c>
      <c r="AR8" s="47">
        <v>1</v>
      </c>
      <c r="AS8" s="46">
        <v>14</v>
      </c>
      <c r="AT8" s="46">
        <v>21</v>
      </c>
      <c r="AU8" s="36">
        <f t="shared" si="8"/>
        <v>35</v>
      </c>
      <c r="AV8" s="47">
        <v>113</v>
      </c>
      <c r="AW8" s="47">
        <v>363</v>
      </c>
      <c r="AX8" s="47">
        <v>3</v>
      </c>
      <c r="AY8" s="47">
        <v>6</v>
      </c>
      <c r="AZ8" s="47">
        <f t="shared" si="5"/>
        <v>9</v>
      </c>
      <c r="BA8" s="47">
        <v>22</v>
      </c>
      <c r="BB8" s="47">
        <v>2</v>
      </c>
    </row>
    <row r="9" spans="1:54" customFormat="1">
      <c r="A9" s="7">
        <v>18</v>
      </c>
      <c r="B9" s="7">
        <v>2</v>
      </c>
      <c r="C9" s="34">
        <v>9</v>
      </c>
      <c r="D9" s="6">
        <v>2</v>
      </c>
      <c r="E9" s="7">
        <v>1</v>
      </c>
      <c r="F9" s="7">
        <v>2</v>
      </c>
      <c r="G9" s="7">
        <v>150000</v>
      </c>
      <c r="H9" s="7">
        <v>1</v>
      </c>
      <c r="I9" s="5">
        <v>24</v>
      </c>
      <c r="J9" s="5">
        <v>0</v>
      </c>
      <c r="K9" s="5">
        <v>1</v>
      </c>
      <c r="L9" s="72">
        <f t="shared" si="6"/>
        <v>3.125</v>
      </c>
      <c r="M9" s="38">
        <v>50</v>
      </c>
      <c r="N9" s="18">
        <v>49.625</v>
      </c>
      <c r="O9" s="4">
        <v>96.688254999999998</v>
      </c>
      <c r="P9" s="4">
        <v>36.614398000000001</v>
      </c>
      <c r="Q9" s="4">
        <v>9.23</v>
      </c>
      <c r="R9" s="4">
        <v>0.55031600000000003</v>
      </c>
      <c r="S9" s="33">
        <v>1.8368310000000001</v>
      </c>
      <c r="T9" s="33">
        <v>-0.342084</v>
      </c>
      <c r="U9" s="32">
        <v>-1.33</v>
      </c>
      <c r="V9" s="33">
        <v>-2.5424980000000001</v>
      </c>
      <c r="W9" s="47">
        <v>35</v>
      </c>
      <c r="X9" s="47">
        <v>24</v>
      </c>
      <c r="Y9" s="47">
        <v>11</v>
      </c>
      <c r="Z9" s="47">
        <v>4</v>
      </c>
      <c r="AA9" s="47">
        <v>8</v>
      </c>
      <c r="AB9" s="47">
        <v>16</v>
      </c>
      <c r="AC9" s="47">
        <v>15</v>
      </c>
      <c r="AD9" s="47">
        <v>6</v>
      </c>
      <c r="AE9" s="47">
        <v>7</v>
      </c>
      <c r="AF9" s="47">
        <v>10</v>
      </c>
      <c r="AG9" s="47">
        <f t="shared" si="0"/>
        <v>23</v>
      </c>
      <c r="AH9" s="47">
        <v>12</v>
      </c>
      <c r="AI9" s="47">
        <v>12</v>
      </c>
      <c r="AJ9" s="47">
        <v>0</v>
      </c>
      <c r="AK9" s="47">
        <v>0</v>
      </c>
      <c r="AL9" s="47">
        <f>SUM(AJ9:AK9)</f>
        <v>0</v>
      </c>
      <c r="AM9" s="47">
        <v>71</v>
      </c>
      <c r="AN9" s="47">
        <v>62</v>
      </c>
      <c r="AO9" s="47">
        <v>17</v>
      </c>
      <c r="AP9" s="48">
        <f t="shared" si="2"/>
        <v>33.097744360902254</v>
      </c>
      <c r="AQ9" s="48">
        <f t="shared" si="3"/>
        <v>-16.097744360902254</v>
      </c>
      <c r="AR9" s="47">
        <v>6</v>
      </c>
      <c r="AS9" s="47">
        <v>0</v>
      </c>
      <c r="AT9" s="47">
        <v>5</v>
      </c>
      <c r="AU9" s="36">
        <f t="shared" si="8"/>
        <v>5</v>
      </c>
      <c r="AV9" s="47">
        <v>81</v>
      </c>
      <c r="AW9" s="47">
        <v>128</v>
      </c>
      <c r="AX9" s="47">
        <v>6</v>
      </c>
      <c r="AY9" s="47">
        <v>5</v>
      </c>
      <c r="AZ9" s="47">
        <f t="shared" si="5"/>
        <v>11</v>
      </c>
      <c r="BA9" s="47">
        <v>34</v>
      </c>
      <c r="BB9" s="47">
        <v>1</v>
      </c>
    </row>
    <row r="10" spans="1:54" customFormat="1">
      <c r="A10" s="7">
        <v>31</v>
      </c>
      <c r="B10" s="7">
        <v>2</v>
      </c>
      <c r="C10" s="34">
        <v>1</v>
      </c>
      <c r="D10" s="6">
        <v>2</v>
      </c>
      <c r="E10" s="7">
        <v>1</v>
      </c>
      <c r="F10" s="7">
        <v>2</v>
      </c>
      <c r="G10" s="7">
        <v>30000</v>
      </c>
      <c r="H10" s="7">
        <v>1</v>
      </c>
      <c r="I10" s="5">
        <v>23</v>
      </c>
      <c r="J10" s="5">
        <v>1</v>
      </c>
      <c r="K10" s="5">
        <v>0</v>
      </c>
      <c r="L10" s="72">
        <f t="shared" si="6"/>
        <v>2.8125</v>
      </c>
      <c r="M10" s="38">
        <v>45</v>
      </c>
      <c r="N10" s="18">
        <v>77.1875</v>
      </c>
      <c r="O10" s="4">
        <v>9.3132459999999995</v>
      </c>
      <c r="P10" s="4">
        <v>1.3199000000000001E-2</v>
      </c>
      <c r="Q10" s="4">
        <v>25.51</v>
      </c>
      <c r="R10" s="4">
        <v>9.9999999999999995E-7</v>
      </c>
      <c r="S10" s="33">
        <v>-1.321709</v>
      </c>
      <c r="T10" s="33">
        <v>-3.6482960000000002</v>
      </c>
      <c r="U10" s="32">
        <v>-0.66</v>
      </c>
      <c r="V10" s="33">
        <v>-5.6480180000000004</v>
      </c>
      <c r="W10" s="47">
        <v>33</v>
      </c>
      <c r="X10" s="47">
        <v>5</v>
      </c>
      <c r="Y10" s="47">
        <v>4</v>
      </c>
      <c r="Z10" s="47">
        <v>3</v>
      </c>
      <c r="AA10" s="47">
        <v>3</v>
      </c>
      <c r="AB10" s="47">
        <v>9</v>
      </c>
      <c r="AC10" s="47">
        <v>5</v>
      </c>
      <c r="AD10" s="47">
        <v>4</v>
      </c>
      <c r="AE10" s="47">
        <v>4</v>
      </c>
      <c r="AF10" s="47">
        <v>5</v>
      </c>
      <c r="AG10" s="47">
        <f t="shared" si="0"/>
        <v>13</v>
      </c>
      <c r="AH10" s="47">
        <v>8</v>
      </c>
      <c r="AI10" s="47">
        <v>11</v>
      </c>
      <c r="AJ10" s="47">
        <v>4</v>
      </c>
      <c r="AK10" s="47">
        <v>0</v>
      </c>
      <c r="AL10" s="47">
        <f>SUM(AJ10:AK10)</f>
        <v>4</v>
      </c>
      <c r="AM10" s="47">
        <v>78</v>
      </c>
      <c r="AN10" s="47">
        <v>56</v>
      </c>
      <c r="AO10" s="47">
        <v>38</v>
      </c>
      <c r="AP10" s="48">
        <f t="shared" si="2"/>
        <v>32.597014925373138</v>
      </c>
      <c r="AQ10" s="48">
        <f t="shared" si="3"/>
        <v>5.4029850746268622</v>
      </c>
      <c r="AR10" s="47">
        <v>3</v>
      </c>
      <c r="AS10" s="47">
        <v>6</v>
      </c>
      <c r="AT10" s="47">
        <v>9</v>
      </c>
      <c r="AU10" s="36">
        <f t="shared" si="8"/>
        <v>15</v>
      </c>
      <c r="AV10" s="47">
        <v>120</v>
      </c>
      <c r="AW10" s="47">
        <v>458</v>
      </c>
      <c r="AX10" s="47">
        <v>1</v>
      </c>
      <c r="AY10" s="47">
        <v>4</v>
      </c>
      <c r="AZ10" s="47">
        <f>SUM(AX10:AY10)</f>
        <v>5</v>
      </c>
      <c r="BA10" s="47">
        <v>21</v>
      </c>
      <c r="BB10" s="47">
        <v>1</v>
      </c>
    </row>
    <row r="11" spans="1:54" customFormat="1">
      <c r="A11" s="7">
        <v>32</v>
      </c>
      <c r="B11" s="7">
        <v>2</v>
      </c>
      <c r="C11" s="34">
        <v>5</v>
      </c>
      <c r="D11" s="6">
        <v>2</v>
      </c>
      <c r="E11" s="7">
        <v>1</v>
      </c>
      <c r="F11" s="7">
        <v>2</v>
      </c>
      <c r="G11" s="7">
        <v>500000</v>
      </c>
      <c r="H11" s="7">
        <v>1</v>
      </c>
      <c r="I11" s="5">
        <v>23</v>
      </c>
      <c r="J11" s="5">
        <v>1</v>
      </c>
      <c r="K11" s="5">
        <v>0</v>
      </c>
      <c r="L11" s="72">
        <f t="shared" si="6"/>
        <v>2.875</v>
      </c>
      <c r="M11" s="38">
        <v>46</v>
      </c>
      <c r="N11" s="18">
        <v>55.375</v>
      </c>
      <c r="O11" s="4">
        <v>17.903424000000001</v>
      </c>
      <c r="P11" s="4">
        <v>4.9433939999999996</v>
      </c>
      <c r="Q11" s="4">
        <v>0</v>
      </c>
      <c r="R11" s="4">
        <v>9.9999999999999995E-7</v>
      </c>
      <c r="S11" s="33">
        <v>-0.91905199999999998</v>
      </c>
      <c r="T11" s="33">
        <v>-1.6503669999999999</v>
      </c>
      <c r="U11" s="32">
        <v>-3.95</v>
      </c>
      <c r="V11" s="33">
        <v>-5.6915779999999998</v>
      </c>
      <c r="W11" s="47">
        <v>30</v>
      </c>
      <c r="X11" s="47">
        <v>12</v>
      </c>
      <c r="Y11" s="47">
        <v>7</v>
      </c>
      <c r="Z11" s="47">
        <v>1</v>
      </c>
      <c r="AA11" s="47">
        <v>8</v>
      </c>
      <c r="AB11" s="47">
        <v>11</v>
      </c>
      <c r="AC11" s="47">
        <v>14</v>
      </c>
      <c r="AD11" s="47">
        <v>5</v>
      </c>
      <c r="AE11" s="47">
        <v>7</v>
      </c>
      <c r="AF11" s="47">
        <v>6</v>
      </c>
      <c r="AG11" s="47">
        <f t="shared" si="0"/>
        <v>18</v>
      </c>
      <c r="AH11" s="47">
        <v>7</v>
      </c>
      <c r="AI11" s="47">
        <v>10</v>
      </c>
      <c r="AJ11" s="47">
        <v>0</v>
      </c>
      <c r="AK11" s="47">
        <v>0</v>
      </c>
      <c r="AL11" s="47">
        <f>SUM(AJ11:AK11)</f>
        <v>0</v>
      </c>
      <c r="AM11" s="47">
        <v>60</v>
      </c>
      <c r="AN11" s="47">
        <v>54</v>
      </c>
      <c r="AO11" s="47">
        <v>15</v>
      </c>
      <c r="AP11" s="48">
        <f t="shared" si="2"/>
        <v>28.421052631578949</v>
      </c>
      <c r="AQ11" s="48">
        <f t="shared" si="3"/>
        <v>-13.421052631578949</v>
      </c>
      <c r="AR11" s="47">
        <v>2</v>
      </c>
      <c r="AS11" s="47">
        <v>12</v>
      </c>
      <c r="AT11" s="47">
        <v>16</v>
      </c>
      <c r="AU11" s="36">
        <f t="shared" si="8"/>
        <v>28</v>
      </c>
      <c r="AV11" s="47">
        <v>113</v>
      </c>
      <c r="AW11" s="47">
        <v>389</v>
      </c>
      <c r="AX11" s="47">
        <v>3</v>
      </c>
      <c r="AY11" s="47">
        <v>2</v>
      </c>
      <c r="AZ11" s="47">
        <f>SUM(AX11:AY11)</f>
        <v>5</v>
      </c>
      <c r="BA11" s="47">
        <v>22</v>
      </c>
      <c r="BB11" s="47">
        <v>5</v>
      </c>
    </row>
    <row r="12" spans="1:54" customFormat="1">
      <c r="A12" s="7">
        <v>40</v>
      </c>
      <c r="B12" s="7">
        <v>2</v>
      </c>
      <c r="C12" s="34">
        <v>3</v>
      </c>
      <c r="D12" s="6">
        <v>1</v>
      </c>
      <c r="E12" s="7">
        <v>1</v>
      </c>
      <c r="F12" s="7">
        <v>2</v>
      </c>
      <c r="G12" s="7">
        <v>300000</v>
      </c>
      <c r="H12" s="7">
        <v>1</v>
      </c>
      <c r="I12" s="5">
        <v>32</v>
      </c>
      <c r="J12" s="5">
        <v>1</v>
      </c>
      <c r="K12" s="5">
        <v>0</v>
      </c>
      <c r="L12" s="72">
        <f t="shared" si="6"/>
        <v>3.4375</v>
      </c>
      <c r="M12" s="38">
        <v>55</v>
      </c>
      <c r="N12" s="18">
        <v>37.4375</v>
      </c>
      <c r="O12" s="4">
        <v>21.344414</v>
      </c>
      <c r="P12" s="4">
        <v>1.755449</v>
      </c>
      <c r="Q12" s="4">
        <v>1.44</v>
      </c>
      <c r="R12" s="4">
        <v>7.4999999999999993E-5</v>
      </c>
      <c r="S12" s="33">
        <v>-0.79452800000000001</v>
      </c>
      <c r="T12" s="33">
        <v>-2.1070989999999998</v>
      </c>
      <c r="U12" s="32">
        <v>-2.19</v>
      </c>
      <c r="V12" s="33">
        <v>-4.8105089999999997</v>
      </c>
      <c r="W12" s="47">
        <v>33</v>
      </c>
      <c r="X12" s="47">
        <v>11</v>
      </c>
      <c r="Y12" s="47">
        <v>6</v>
      </c>
      <c r="Z12" s="47">
        <v>3</v>
      </c>
      <c r="AA12" s="47">
        <v>6</v>
      </c>
      <c r="AB12" s="47">
        <v>10</v>
      </c>
      <c r="AC12" s="47">
        <v>11</v>
      </c>
      <c r="AD12" s="47">
        <v>3</v>
      </c>
      <c r="AE12" s="47">
        <v>5</v>
      </c>
      <c r="AF12" s="47">
        <v>3</v>
      </c>
      <c r="AG12" s="47">
        <f t="shared" si="0"/>
        <v>11</v>
      </c>
      <c r="AH12" s="47">
        <v>8</v>
      </c>
      <c r="AI12" s="47">
        <v>12</v>
      </c>
      <c r="AJ12" s="47">
        <v>5</v>
      </c>
      <c r="AK12" s="47">
        <v>0</v>
      </c>
      <c r="AL12" s="47">
        <f t="shared" ref="AL12:AL15" si="9">SUM(AJ12:AK12)</f>
        <v>5</v>
      </c>
      <c r="AM12" s="47">
        <v>64</v>
      </c>
      <c r="AN12" s="47">
        <v>60</v>
      </c>
      <c r="AO12" s="47">
        <v>32</v>
      </c>
      <c r="AP12" s="48">
        <f t="shared" si="2"/>
        <v>30.967741935483872</v>
      </c>
      <c r="AQ12" s="48">
        <v>1.0322580649999999</v>
      </c>
      <c r="AR12" s="47">
        <v>2</v>
      </c>
      <c r="AS12" s="47">
        <v>13</v>
      </c>
      <c r="AT12" s="47">
        <v>14</v>
      </c>
      <c r="AU12" s="36">
        <f t="shared" si="8"/>
        <v>27</v>
      </c>
      <c r="AV12" s="47">
        <v>183</v>
      </c>
      <c r="AW12" s="47">
        <v>301</v>
      </c>
      <c r="AX12" s="47">
        <v>6</v>
      </c>
      <c r="AY12" s="47">
        <v>7</v>
      </c>
      <c r="AZ12" s="47">
        <f t="shared" ref="AZ12:AZ16" si="10">SUM(AX12:AY12)</f>
        <v>13</v>
      </c>
      <c r="BA12" s="47">
        <v>21</v>
      </c>
      <c r="BB12" s="47">
        <v>0</v>
      </c>
    </row>
    <row r="13" spans="1:54" customFormat="1">
      <c r="A13" s="7">
        <v>27</v>
      </c>
      <c r="B13" s="7">
        <v>2</v>
      </c>
      <c r="C13" s="34">
        <v>0</v>
      </c>
      <c r="D13" s="6">
        <v>1</v>
      </c>
      <c r="E13" s="7">
        <v>1</v>
      </c>
      <c r="F13" s="7">
        <v>2</v>
      </c>
      <c r="G13" s="7">
        <v>200000</v>
      </c>
      <c r="H13" s="7">
        <v>1</v>
      </c>
      <c r="I13" s="5">
        <v>20</v>
      </c>
      <c r="J13" s="5">
        <v>1</v>
      </c>
      <c r="K13" s="5">
        <v>0</v>
      </c>
      <c r="L13" s="72">
        <f t="shared" si="6"/>
        <v>2.5625</v>
      </c>
      <c r="M13" s="38">
        <v>41</v>
      </c>
      <c r="N13" s="18">
        <v>87.8125</v>
      </c>
      <c r="O13" s="4">
        <v>4.0033880000000002</v>
      </c>
      <c r="P13" s="4">
        <v>0.13042300000000001</v>
      </c>
      <c r="Q13" s="4">
        <v>3.9</v>
      </c>
      <c r="R13" s="4">
        <v>0</v>
      </c>
      <c r="S13" s="33">
        <v>-1.7502930000000001</v>
      </c>
      <c r="T13" s="33">
        <v>-3.0104669999999998</v>
      </c>
      <c r="U13" s="32">
        <v>-1.76</v>
      </c>
      <c r="V13" s="33">
        <v>-9.8594340000000003</v>
      </c>
      <c r="W13" s="47">
        <v>30</v>
      </c>
      <c r="X13" s="47">
        <v>17</v>
      </c>
      <c r="Y13" s="47">
        <v>3</v>
      </c>
      <c r="Z13" s="47">
        <v>0</v>
      </c>
      <c r="AA13" s="47">
        <v>1</v>
      </c>
      <c r="AB13" s="47">
        <v>15</v>
      </c>
      <c r="AC13" s="47">
        <v>10</v>
      </c>
      <c r="AD13" s="47">
        <v>3</v>
      </c>
      <c r="AE13" s="47">
        <v>3</v>
      </c>
      <c r="AF13" s="47">
        <v>3</v>
      </c>
      <c r="AG13" s="47">
        <f t="shared" si="0"/>
        <v>9</v>
      </c>
      <c r="AH13" s="47">
        <v>6</v>
      </c>
      <c r="AI13" s="47">
        <v>11</v>
      </c>
      <c r="AJ13" s="47">
        <v>3</v>
      </c>
      <c r="AK13" s="47">
        <v>0</v>
      </c>
      <c r="AL13" s="47">
        <f t="shared" si="9"/>
        <v>3</v>
      </c>
      <c r="AM13" s="47">
        <v>10</v>
      </c>
      <c r="AN13" s="47">
        <v>29</v>
      </c>
      <c r="AO13" s="47">
        <v>41</v>
      </c>
      <c r="AP13" s="48">
        <f>(AM13*AN13)/(AM13+AN13)</f>
        <v>7.4358974358974361</v>
      </c>
      <c r="AQ13" s="48">
        <v>41</v>
      </c>
      <c r="AR13" s="47">
        <v>0</v>
      </c>
      <c r="AS13" s="47">
        <v>11</v>
      </c>
      <c r="AT13" s="47">
        <v>25</v>
      </c>
      <c r="AU13" s="36">
        <f t="shared" si="8"/>
        <v>36</v>
      </c>
      <c r="AV13" s="47">
        <v>138</v>
      </c>
      <c r="AW13" s="47">
        <v>330</v>
      </c>
      <c r="AX13" s="47">
        <v>1</v>
      </c>
      <c r="AY13" s="47">
        <v>5</v>
      </c>
      <c r="AZ13" s="47">
        <f t="shared" si="10"/>
        <v>6</v>
      </c>
      <c r="BA13" s="47">
        <v>17</v>
      </c>
      <c r="BB13" s="47">
        <v>0</v>
      </c>
    </row>
    <row r="14" spans="1:54" customFormat="1">
      <c r="A14" s="7">
        <v>45</v>
      </c>
      <c r="B14" s="7">
        <v>1</v>
      </c>
      <c r="C14" s="34">
        <v>5</v>
      </c>
      <c r="D14" s="6">
        <v>3</v>
      </c>
      <c r="E14" s="7">
        <v>1</v>
      </c>
      <c r="F14" s="7">
        <v>1</v>
      </c>
      <c r="G14" s="7">
        <v>150000</v>
      </c>
      <c r="H14" s="7">
        <v>1</v>
      </c>
      <c r="I14" s="5">
        <v>21</v>
      </c>
      <c r="J14" s="5">
        <v>1</v>
      </c>
      <c r="K14" s="5">
        <v>0</v>
      </c>
      <c r="L14" s="72">
        <f t="shared" si="6"/>
        <v>1.875</v>
      </c>
      <c r="M14" s="38">
        <v>30</v>
      </c>
      <c r="N14" s="18">
        <v>89.125</v>
      </c>
      <c r="O14" s="4">
        <v>58.706491999999997</v>
      </c>
      <c r="P14" s="4">
        <v>44.711799999999997</v>
      </c>
      <c r="Q14" s="4">
        <v>1.03</v>
      </c>
      <c r="R14" s="4">
        <v>2.192666</v>
      </c>
      <c r="S14" s="33">
        <v>0.220001</v>
      </c>
      <c r="T14" s="33">
        <v>-0.13294600000000001</v>
      </c>
      <c r="U14" s="32">
        <v>-2.3199999999999998</v>
      </c>
      <c r="V14" s="33">
        <v>-2.0154899999999998</v>
      </c>
      <c r="W14" s="47">
        <v>30</v>
      </c>
      <c r="X14" s="47">
        <v>20</v>
      </c>
      <c r="Y14" s="47">
        <v>8</v>
      </c>
      <c r="Z14" s="47">
        <v>9</v>
      </c>
      <c r="AA14" s="47">
        <v>11</v>
      </c>
      <c r="AB14" s="47">
        <v>12</v>
      </c>
      <c r="AC14" s="47">
        <v>15</v>
      </c>
      <c r="AD14" s="47">
        <v>5</v>
      </c>
      <c r="AE14" s="47">
        <v>5</v>
      </c>
      <c r="AF14" s="47">
        <v>8</v>
      </c>
      <c r="AG14" s="47">
        <f t="shared" ref="AG14:AG21" si="11">SUM(AD14:AF14)</f>
        <v>18</v>
      </c>
      <c r="AH14" s="47">
        <v>7</v>
      </c>
      <c r="AI14" s="47">
        <v>11</v>
      </c>
      <c r="AJ14" s="47">
        <v>2</v>
      </c>
      <c r="AK14" s="47">
        <v>1</v>
      </c>
      <c r="AL14" s="47">
        <f t="shared" si="9"/>
        <v>3</v>
      </c>
      <c r="AM14" s="47">
        <v>80</v>
      </c>
      <c r="AN14" s="47">
        <v>55</v>
      </c>
      <c r="AO14" s="47">
        <v>28</v>
      </c>
      <c r="AP14" s="48">
        <f t="shared" si="2"/>
        <v>32.592592592592595</v>
      </c>
      <c r="AQ14" s="48">
        <f t="shared" ref="AQ14:AQ20" si="12">AO14-AP14</f>
        <v>-4.5925925925925952</v>
      </c>
      <c r="AR14" s="47">
        <v>2</v>
      </c>
      <c r="AS14" s="47">
        <v>11</v>
      </c>
      <c r="AT14" s="47">
        <v>17</v>
      </c>
      <c r="AU14" s="36">
        <f t="shared" si="8"/>
        <v>28</v>
      </c>
      <c r="AV14" s="47">
        <v>90</v>
      </c>
      <c r="AW14" s="47">
        <v>205</v>
      </c>
      <c r="AX14" s="47">
        <v>5</v>
      </c>
      <c r="AY14" s="47">
        <v>5</v>
      </c>
      <c r="AZ14" s="47">
        <f t="shared" si="10"/>
        <v>10</v>
      </c>
      <c r="BA14" s="47">
        <v>22</v>
      </c>
      <c r="BB14" s="47">
        <v>2</v>
      </c>
    </row>
    <row r="15" spans="1:54" customFormat="1">
      <c r="A15" s="7">
        <v>38</v>
      </c>
      <c r="B15" s="7">
        <v>1</v>
      </c>
      <c r="C15" s="34">
        <v>5</v>
      </c>
      <c r="D15" s="6">
        <v>3</v>
      </c>
      <c r="E15" s="7">
        <v>1</v>
      </c>
      <c r="F15" s="7">
        <v>2</v>
      </c>
      <c r="G15" s="7">
        <v>250000</v>
      </c>
      <c r="H15" s="7">
        <v>1</v>
      </c>
      <c r="I15" s="5">
        <v>30</v>
      </c>
      <c r="J15" s="5">
        <v>1</v>
      </c>
      <c r="K15" s="5">
        <v>0</v>
      </c>
      <c r="L15" s="72">
        <f t="shared" si="6"/>
        <v>1.625</v>
      </c>
      <c r="M15" s="38">
        <v>26</v>
      </c>
      <c r="N15" s="18">
        <v>84.375</v>
      </c>
      <c r="O15" s="4">
        <v>29.546230000000001</v>
      </c>
      <c r="P15" s="4">
        <v>12.169157999999999</v>
      </c>
      <c r="Q15" s="4">
        <v>7.0000000000000007E-2</v>
      </c>
      <c r="R15" s="4">
        <v>2.6153979999999999</v>
      </c>
      <c r="S15" s="33">
        <v>-0.537497</v>
      </c>
      <c r="T15" s="33">
        <v>-1.1665719999999999</v>
      </c>
      <c r="U15" s="32">
        <v>-3.2</v>
      </c>
      <c r="V15" s="33">
        <v>-1.940591</v>
      </c>
      <c r="W15" s="47">
        <v>25</v>
      </c>
      <c r="X15" s="47">
        <v>16</v>
      </c>
      <c r="Y15" s="47">
        <v>7</v>
      </c>
      <c r="Z15" s="47">
        <v>6</v>
      </c>
      <c r="AA15" s="47">
        <v>8</v>
      </c>
      <c r="AB15" s="47">
        <v>14</v>
      </c>
      <c r="AC15" s="47">
        <v>12</v>
      </c>
      <c r="AD15" s="47">
        <v>6</v>
      </c>
      <c r="AE15" s="47">
        <v>7</v>
      </c>
      <c r="AF15" s="47">
        <v>6</v>
      </c>
      <c r="AG15" s="47">
        <f t="shared" si="11"/>
        <v>19</v>
      </c>
      <c r="AH15" s="47">
        <v>8</v>
      </c>
      <c r="AI15" s="47">
        <v>9</v>
      </c>
      <c r="AJ15" s="47">
        <v>0</v>
      </c>
      <c r="AK15" s="47">
        <v>0</v>
      </c>
      <c r="AL15" s="47">
        <f t="shared" si="9"/>
        <v>0</v>
      </c>
      <c r="AM15" s="47">
        <v>71</v>
      </c>
      <c r="AN15" s="47">
        <v>45</v>
      </c>
      <c r="AO15" s="47">
        <v>28</v>
      </c>
      <c r="AP15" s="48">
        <f t="shared" si="2"/>
        <v>27.543103448275861</v>
      </c>
      <c r="AQ15" s="48">
        <f t="shared" si="12"/>
        <v>0.45689655172413879</v>
      </c>
      <c r="AR15" s="47">
        <v>1</v>
      </c>
      <c r="AS15" s="47">
        <v>20</v>
      </c>
      <c r="AT15" s="47">
        <v>15</v>
      </c>
      <c r="AU15" s="36">
        <f t="shared" ref="AU15:AU30" si="13">SUM(AS15:AT15)</f>
        <v>35</v>
      </c>
      <c r="AV15" s="47">
        <v>65</v>
      </c>
      <c r="AW15" s="47">
        <v>180</v>
      </c>
      <c r="AX15" s="47">
        <v>6</v>
      </c>
      <c r="AY15" s="47">
        <v>7</v>
      </c>
      <c r="AZ15" s="47">
        <f t="shared" si="10"/>
        <v>13</v>
      </c>
      <c r="BA15" s="47">
        <v>25</v>
      </c>
      <c r="BB15" s="47">
        <v>0</v>
      </c>
    </row>
    <row r="16" spans="1:54" customFormat="1">
      <c r="A16" s="7">
        <v>32</v>
      </c>
      <c r="B16" s="7">
        <v>2</v>
      </c>
      <c r="C16" s="34">
        <v>1</v>
      </c>
      <c r="D16" s="6">
        <v>2</v>
      </c>
      <c r="E16" s="7">
        <v>1</v>
      </c>
      <c r="F16" s="7">
        <v>2</v>
      </c>
      <c r="G16" s="7">
        <v>50000</v>
      </c>
      <c r="H16" s="7">
        <v>1</v>
      </c>
      <c r="I16" s="5">
        <v>21</v>
      </c>
      <c r="J16" s="5">
        <v>1</v>
      </c>
      <c r="K16" s="5">
        <v>0</v>
      </c>
      <c r="L16" s="72">
        <f t="shared" si="6"/>
        <v>3.25</v>
      </c>
      <c r="M16" s="38">
        <v>52</v>
      </c>
      <c r="N16" s="18">
        <v>79.5</v>
      </c>
      <c r="O16" s="4">
        <v>46.511744</v>
      </c>
      <c r="P16" s="4">
        <v>84.829806000000005</v>
      </c>
      <c r="Q16" s="4">
        <v>0.01</v>
      </c>
      <c r="R16" s="4">
        <v>2.2479559999999998</v>
      </c>
      <c r="S16" s="33">
        <v>-8.7549000000000002E-2</v>
      </c>
      <c r="T16" s="33">
        <v>1.029161</v>
      </c>
      <c r="U16" s="32">
        <v>-3.76</v>
      </c>
      <c r="V16" s="33">
        <v>-2.0050370000000002</v>
      </c>
      <c r="W16" s="47">
        <v>27</v>
      </c>
      <c r="X16" s="47">
        <v>14</v>
      </c>
      <c r="Y16" s="47">
        <v>14</v>
      </c>
      <c r="Z16" s="47">
        <v>9</v>
      </c>
      <c r="AA16" s="47">
        <v>9</v>
      </c>
      <c r="AB16" s="47">
        <v>20</v>
      </c>
      <c r="AC16" s="47">
        <v>14</v>
      </c>
      <c r="AD16" s="47">
        <v>4</v>
      </c>
      <c r="AE16" s="47">
        <v>6</v>
      </c>
      <c r="AF16" s="47">
        <v>12</v>
      </c>
      <c r="AG16" s="47">
        <f t="shared" si="11"/>
        <v>22</v>
      </c>
      <c r="AH16" s="47">
        <v>9</v>
      </c>
      <c r="AI16" s="47">
        <v>12</v>
      </c>
      <c r="AJ16" s="47">
        <v>4</v>
      </c>
      <c r="AK16" s="47">
        <v>0</v>
      </c>
      <c r="AL16" s="47">
        <f t="shared" ref="AL16:AL24" si="14">SUM(AJ16:AK16)</f>
        <v>4</v>
      </c>
      <c r="AM16" s="47">
        <v>77</v>
      </c>
      <c r="AN16" s="47">
        <v>69</v>
      </c>
      <c r="AO16" s="47">
        <v>16</v>
      </c>
      <c r="AP16" s="48">
        <f t="shared" si="2"/>
        <v>36.390410958904113</v>
      </c>
      <c r="AQ16" s="48">
        <f t="shared" si="12"/>
        <v>-20.390410958904113</v>
      </c>
      <c r="AR16" s="47">
        <v>3</v>
      </c>
      <c r="AS16" s="47">
        <v>5</v>
      </c>
      <c r="AT16" s="47">
        <v>20</v>
      </c>
      <c r="AU16" s="36">
        <f t="shared" si="13"/>
        <v>25</v>
      </c>
      <c r="AV16" s="47">
        <v>67</v>
      </c>
      <c r="AW16" s="47">
        <v>202</v>
      </c>
      <c r="AX16" s="47">
        <v>5</v>
      </c>
      <c r="AY16" s="47">
        <v>5</v>
      </c>
      <c r="AZ16" s="47">
        <f t="shared" si="10"/>
        <v>10</v>
      </c>
      <c r="BA16" s="47">
        <v>24</v>
      </c>
      <c r="BB16" s="47">
        <v>5</v>
      </c>
    </row>
    <row r="17" spans="1:54" customFormat="1">
      <c r="A17" s="7">
        <v>59</v>
      </c>
      <c r="B17" s="7">
        <v>2</v>
      </c>
      <c r="C17" s="34">
        <v>0</v>
      </c>
      <c r="D17" s="6">
        <v>1</v>
      </c>
      <c r="E17" s="7">
        <v>1</v>
      </c>
      <c r="F17" s="7">
        <v>4</v>
      </c>
      <c r="G17" s="7">
        <v>30000</v>
      </c>
      <c r="H17" s="7">
        <v>1</v>
      </c>
      <c r="I17" s="5">
        <v>20</v>
      </c>
      <c r="J17" s="5">
        <v>1</v>
      </c>
      <c r="K17" s="5">
        <v>0</v>
      </c>
      <c r="L17" s="72">
        <f t="shared" si="6"/>
        <v>1.625</v>
      </c>
      <c r="M17" s="38">
        <v>26</v>
      </c>
      <c r="N17" s="18">
        <v>75.4375</v>
      </c>
      <c r="O17" s="4">
        <v>7.6908349999999999</v>
      </c>
      <c r="P17" s="4">
        <v>2.9986380000000001</v>
      </c>
      <c r="Q17" s="4">
        <v>3.58</v>
      </c>
      <c r="R17" s="4">
        <v>6.0000000000000002E-6</v>
      </c>
      <c r="S17" s="33">
        <v>-1.4261790000000001</v>
      </c>
      <c r="T17" s="33">
        <v>-1.8809940000000001</v>
      </c>
      <c r="U17" s="32">
        <v>-1.8</v>
      </c>
      <c r="V17" s="33">
        <v>-5.3045299999999997</v>
      </c>
      <c r="W17" s="47">
        <v>20</v>
      </c>
      <c r="X17" s="47">
        <v>8</v>
      </c>
      <c r="Y17" s="47">
        <v>6</v>
      </c>
      <c r="Z17" s="47">
        <v>7</v>
      </c>
      <c r="AA17" s="47">
        <v>8</v>
      </c>
      <c r="AB17" s="47">
        <v>8</v>
      </c>
      <c r="AC17" s="47">
        <v>6</v>
      </c>
      <c r="AD17" s="47">
        <v>4</v>
      </c>
      <c r="AE17" s="47">
        <v>3</v>
      </c>
      <c r="AF17" s="47">
        <v>5</v>
      </c>
      <c r="AG17" s="47">
        <f t="shared" si="11"/>
        <v>12</v>
      </c>
      <c r="AH17" s="47">
        <v>6</v>
      </c>
      <c r="AI17" s="47">
        <v>10</v>
      </c>
      <c r="AJ17" s="47">
        <v>2</v>
      </c>
      <c r="AK17" s="47">
        <v>1</v>
      </c>
      <c r="AL17" s="47">
        <f t="shared" si="14"/>
        <v>3</v>
      </c>
      <c r="AM17" s="47">
        <v>30</v>
      </c>
      <c r="AN17" s="47">
        <v>32</v>
      </c>
      <c r="AO17" s="47">
        <v>25</v>
      </c>
      <c r="AP17" s="48">
        <f t="shared" si="2"/>
        <v>15.483870967741936</v>
      </c>
      <c r="AQ17" s="48">
        <f t="shared" si="12"/>
        <v>9.5161290322580641</v>
      </c>
      <c r="AR17" s="47">
        <v>0</v>
      </c>
      <c r="AS17" s="46">
        <v>16</v>
      </c>
      <c r="AT17" s="46">
        <v>21</v>
      </c>
      <c r="AU17" s="36">
        <f t="shared" si="13"/>
        <v>37</v>
      </c>
      <c r="AV17" s="46">
        <v>95</v>
      </c>
      <c r="AW17" s="46">
        <v>374</v>
      </c>
      <c r="AX17" s="47">
        <v>2</v>
      </c>
      <c r="AY17" s="47">
        <v>1</v>
      </c>
      <c r="AZ17" s="47">
        <f t="shared" ref="AZ17:AZ29" si="15">SUM(AX17:AY17)</f>
        <v>3</v>
      </c>
      <c r="BA17" s="47">
        <v>12</v>
      </c>
      <c r="BB17" s="46">
        <v>1</v>
      </c>
    </row>
    <row r="18" spans="1:54" customFormat="1">
      <c r="A18" s="7">
        <v>41</v>
      </c>
      <c r="B18" s="7">
        <v>2</v>
      </c>
      <c r="C18" s="34">
        <v>6</v>
      </c>
      <c r="D18" s="6">
        <v>2</v>
      </c>
      <c r="E18" s="7">
        <v>1</v>
      </c>
      <c r="F18" s="7">
        <v>2</v>
      </c>
      <c r="G18" s="7">
        <v>130000</v>
      </c>
      <c r="H18" s="7">
        <v>1</v>
      </c>
      <c r="I18" s="5">
        <v>25</v>
      </c>
      <c r="J18" s="5">
        <v>0</v>
      </c>
      <c r="K18" s="5">
        <v>0</v>
      </c>
      <c r="L18" s="72">
        <f t="shared" si="6"/>
        <v>2.125</v>
      </c>
      <c r="M18" s="38">
        <v>34</v>
      </c>
      <c r="N18" s="18">
        <v>61.979166666666671</v>
      </c>
      <c r="O18" s="4">
        <v>17.051124999999999</v>
      </c>
      <c r="P18" s="4">
        <v>34.382379</v>
      </c>
      <c r="Q18" s="4">
        <v>0.05</v>
      </c>
      <c r="R18" s="4">
        <v>0.11031000000000001</v>
      </c>
      <c r="S18" s="33">
        <v>-0.95214699999999997</v>
      </c>
      <c r="T18" s="33">
        <v>-0.40205000000000002</v>
      </c>
      <c r="U18" s="32">
        <v>-3.3</v>
      </c>
      <c r="V18" s="33">
        <v>-3.0609730000000002</v>
      </c>
      <c r="W18" s="47">
        <v>23</v>
      </c>
      <c r="X18" s="47">
        <v>12</v>
      </c>
      <c r="Y18" s="47">
        <v>9</v>
      </c>
      <c r="Z18" s="47">
        <v>5</v>
      </c>
      <c r="AA18" s="47">
        <v>8</v>
      </c>
      <c r="AB18" s="47">
        <v>14</v>
      </c>
      <c r="AC18" s="47">
        <v>15</v>
      </c>
      <c r="AD18" s="47">
        <v>6</v>
      </c>
      <c r="AE18" s="47">
        <v>5</v>
      </c>
      <c r="AF18" s="47">
        <v>6</v>
      </c>
      <c r="AG18" s="47">
        <f t="shared" si="11"/>
        <v>17</v>
      </c>
      <c r="AH18" s="47">
        <v>7</v>
      </c>
      <c r="AI18" s="47">
        <v>12</v>
      </c>
      <c r="AJ18" s="47">
        <v>0</v>
      </c>
      <c r="AK18" s="47">
        <v>0</v>
      </c>
      <c r="AL18" s="47">
        <f t="shared" si="14"/>
        <v>0</v>
      </c>
      <c r="AM18" s="47">
        <v>70</v>
      </c>
      <c r="AN18" s="47">
        <v>51</v>
      </c>
      <c r="AO18" s="47">
        <v>28</v>
      </c>
      <c r="AP18" s="48">
        <f t="shared" si="2"/>
        <v>29.504132231404959</v>
      </c>
      <c r="AQ18" s="48">
        <f t="shared" si="12"/>
        <v>-1.5041322314049594</v>
      </c>
      <c r="AR18" s="47">
        <v>0</v>
      </c>
      <c r="AS18" s="47">
        <v>15</v>
      </c>
      <c r="AT18" s="47">
        <v>16</v>
      </c>
      <c r="AU18" s="36">
        <f t="shared" si="13"/>
        <v>31</v>
      </c>
      <c r="AV18" s="47">
        <v>60</v>
      </c>
      <c r="AW18" s="47">
        <v>295</v>
      </c>
      <c r="AX18" s="47">
        <v>5</v>
      </c>
      <c r="AY18" s="47">
        <v>4</v>
      </c>
      <c r="AZ18" s="47">
        <f t="shared" si="15"/>
        <v>9</v>
      </c>
      <c r="BA18" s="47">
        <v>15</v>
      </c>
      <c r="BB18" s="47">
        <v>2</v>
      </c>
    </row>
    <row r="19" spans="1:54" customFormat="1">
      <c r="A19" s="7">
        <v>41</v>
      </c>
      <c r="B19" s="7">
        <v>2</v>
      </c>
      <c r="C19" s="34">
        <v>7</v>
      </c>
      <c r="D19" s="6">
        <v>2</v>
      </c>
      <c r="E19" s="7">
        <v>1</v>
      </c>
      <c r="F19" s="7">
        <v>3</v>
      </c>
      <c r="G19" s="7">
        <v>200000</v>
      </c>
      <c r="H19" s="7">
        <v>1</v>
      </c>
      <c r="I19" s="5">
        <v>24</v>
      </c>
      <c r="J19" s="5">
        <v>0</v>
      </c>
      <c r="K19" s="5">
        <v>0</v>
      </c>
      <c r="L19" s="72">
        <f t="shared" si="6"/>
        <v>1.9375</v>
      </c>
      <c r="M19" s="38">
        <v>31</v>
      </c>
      <c r="N19" s="18">
        <v>95.875</v>
      </c>
      <c r="O19" s="4">
        <v>31.938852000000001</v>
      </c>
      <c r="P19" s="4">
        <v>50.776918999999999</v>
      </c>
      <c r="Q19" s="4">
        <v>25.75</v>
      </c>
      <c r="R19" s="4">
        <v>3.388E-3</v>
      </c>
      <c r="S19" s="33">
        <v>-0.46940900000000002</v>
      </c>
      <c r="T19" s="33">
        <v>1.9476E-2</v>
      </c>
      <c r="U19" s="32">
        <v>-0.65</v>
      </c>
      <c r="V19" s="33">
        <v>-3.9840179999999998</v>
      </c>
      <c r="W19" s="47">
        <v>29</v>
      </c>
      <c r="X19" s="47">
        <v>15</v>
      </c>
      <c r="Y19" s="47">
        <v>10</v>
      </c>
      <c r="Z19" s="47">
        <v>8</v>
      </c>
      <c r="AA19" s="47">
        <v>11</v>
      </c>
      <c r="AB19" s="47">
        <v>15</v>
      </c>
      <c r="AC19" s="47">
        <v>12</v>
      </c>
      <c r="AD19" s="47">
        <v>2</v>
      </c>
      <c r="AE19" s="47">
        <v>4</v>
      </c>
      <c r="AF19" s="47">
        <v>6</v>
      </c>
      <c r="AG19" s="47">
        <f t="shared" si="11"/>
        <v>12</v>
      </c>
      <c r="AH19" s="47">
        <v>9</v>
      </c>
      <c r="AI19" s="47">
        <v>12</v>
      </c>
      <c r="AJ19" s="47">
        <v>0</v>
      </c>
      <c r="AK19" s="47">
        <v>0</v>
      </c>
      <c r="AL19" s="47">
        <f t="shared" si="14"/>
        <v>0</v>
      </c>
      <c r="AM19" s="47">
        <v>60</v>
      </c>
      <c r="AN19" s="47">
        <v>50</v>
      </c>
      <c r="AO19" s="47">
        <v>32</v>
      </c>
      <c r="AP19" s="48">
        <f t="shared" si="2"/>
        <v>27.272727272727273</v>
      </c>
      <c r="AQ19" s="48">
        <f t="shared" si="12"/>
        <v>4.7272727272727266</v>
      </c>
      <c r="AR19" s="47">
        <v>2</v>
      </c>
      <c r="AS19" s="47">
        <v>5</v>
      </c>
      <c r="AT19" s="47">
        <v>8</v>
      </c>
      <c r="AU19" s="36">
        <f t="shared" si="13"/>
        <v>13</v>
      </c>
      <c r="AV19" s="47">
        <v>101</v>
      </c>
      <c r="AW19" s="47">
        <v>250</v>
      </c>
      <c r="AX19" s="47">
        <v>4</v>
      </c>
      <c r="AY19" s="47">
        <v>4</v>
      </c>
      <c r="AZ19" s="47">
        <f t="shared" si="15"/>
        <v>8</v>
      </c>
      <c r="BA19" s="47">
        <v>18</v>
      </c>
      <c r="BB19" s="47">
        <v>0</v>
      </c>
    </row>
    <row r="20" spans="1:54" customFormat="1">
      <c r="A20" s="7">
        <v>48</v>
      </c>
      <c r="B20" s="7">
        <v>2</v>
      </c>
      <c r="C20" s="34">
        <v>0</v>
      </c>
      <c r="D20" s="6">
        <v>1</v>
      </c>
      <c r="E20" s="7">
        <v>1</v>
      </c>
      <c r="F20" s="7">
        <v>2</v>
      </c>
      <c r="G20" s="7">
        <v>80000</v>
      </c>
      <c r="H20" s="7">
        <v>2</v>
      </c>
      <c r="I20" s="5">
        <v>25</v>
      </c>
      <c r="J20" s="5">
        <v>1</v>
      </c>
      <c r="K20" s="5">
        <v>0</v>
      </c>
      <c r="L20" s="72">
        <f t="shared" si="6"/>
        <v>1.875</v>
      </c>
      <c r="M20" s="38">
        <v>30</v>
      </c>
      <c r="N20" s="18">
        <v>54.229166666666671</v>
      </c>
      <c r="O20" s="4">
        <v>2.4593E-2</v>
      </c>
      <c r="P20" s="4">
        <v>3.7719999999999997E-2</v>
      </c>
      <c r="Q20" s="4">
        <v>0</v>
      </c>
      <c r="R20" s="4">
        <v>0</v>
      </c>
      <c r="S20" s="33">
        <v>-3.4851510000000001</v>
      </c>
      <c r="T20" s="33">
        <v>-3.3690060000000002</v>
      </c>
      <c r="U20" s="32">
        <v>-4.0199999999999996</v>
      </c>
      <c r="V20" s="33">
        <v>-8.2185500000000005</v>
      </c>
      <c r="W20" s="47">
        <v>20</v>
      </c>
      <c r="X20" s="47">
        <v>12</v>
      </c>
      <c r="Y20" s="47">
        <v>2</v>
      </c>
      <c r="Z20" s="47">
        <v>2</v>
      </c>
      <c r="AA20" s="47">
        <v>1</v>
      </c>
      <c r="AB20" s="47">
        <v>11</v>
      </c>
      <c r="AC20" s="47">
        <v>7</v>
      </c>
      <c r="AD20" s="47">
        <v>2</v>
      </c>
      <c r="AE20" s="47">
        <v>2</v>
      </c>
      <c r="AF20" s="47">
        <v>3</v>
      </c>
      <c r="AG20" s="47">
        <f t="shared" si="11"/>
        <v>7</v>
      </c>
      <c r="AH20" s="47">
        <v>1</v>
      </c>
      <c r="AI20" s="47">
        <v>6</v>
      </c>
      <c r="AJ20" s="47">
        <v>2</v>
      </c>
      <c r="AK20" s="47">
        <v>1</v>
      </c>
      <c r="AL20" s="47">
        <f t="shared" si="14"/>
        <v>3</v>
      </c>
      <c r="AM20" s="47">
        <v>8</v>
      </c>
      <c r="AN20" s="47">
        <v>11</v>
      </c>
      <c r="AO20" s="47">
        <v>12</v>
      </c>
      <c r="AP20" s="48">
        <f t="shared" si="2"/>
        <v>4.6315789473684212</v>
      </c>
      <c r="AQ20" s="48">
        <f t="shared" si="12"/>
        <v>7.3684210526315788</v>
      </c>
      <c r="AR20" s="47">
        <v>0</v>
      </c>
      <c r="AS20" s="47">
        <v>15</v>
      </c>
      <c r="AT20" s="47">
        <v>25</v>
      </c>
      <c r="AU20" s="36">
        <f t="shared" si="13"/>
        <v>40</v>
      </c>
      <c r="AV20" s="47">
        <v>140</v>
      </c>
      <c r="AW20" s="47">
        <v>308</v>
      </c>
      <c r="AX20" s="47">
        <v>1</v>
      </c>
      <c r="AY20" s="47">
        <v>2</v>
      </c>
      <c r="AZ20" s="47">
        <f t="shared" si="15"/>
        <v>3</v>
      </c>
      <c r="BA20" s="47">
        <v>6</v>
      </c>
      <c r="BB20" s="47">
        <v>0</v>
      </c>
    </row>
    <row r="21" spans="1:54" customFormat="1">
      <c r="A21" s="7">
        <v>39</v>
      </c>
      <c r="B21" s="7">
        <v>2</v>
      </c>
      <c r="C21" s="34">
        <v>9</v>
      </c>
      <c r="D21" s="6">
        <v>2</v>
      </c>
      <c r="E21" s="7">
        <v>1</v>
      </c>
      <c r="F21" s="7">
        <v>1</v>
      </c>
      <c r="G21" s="7">
        <v>50000</v>
      </c>
      <c r="H21" s="7">
        <v>2</v>
      </c>
      <c r="I21" s="5">
        <v>27</v>
      </c>
      <c r="J21" s="5">
        <v>0</v>
      </c>
      <c r="K21" s="5">
        <v>0</v>
      </c>
      <c r="L21" s="72">
        <f t="shared" si="6"/>
        <v>3.0625</v>
      </c>
      <c r="M21" s="38">
        <v>49</v>
      </c>
      <c r="N21" s="18">
        <v>75.041666666666671</v>
      </c>
      <c r="O21" s="4">
        <v>54.167805999999999</v>
      </c>
      <c r="P21" s="4">
        <v>24.165316000000001</v>
      </c>
      <c r="Q21" s="4">
        <v>0.26</v>
      </c>
      <c r="R21" s="4">
        <v>20.180145</v>
      </c>
      <c r="S21" s="33">
        <v>0.10466200000000001</v>
      </c>
      <c r="T21" s="33">
        <v>-0.70099500000000003</v>
      </c>
      <c r="U21" s="32">
        <v>-2.8</v>
      </c>
      <c r="V21" s="33">
        <v>-0.83520399999999995</v>
      </c>
      <c r="W21" s="47">
        <v>35</v>
      </c>
      <c r="X21" s="47">
        <v>20</v>
      </c>
      <c r="Y21" s="47">
        <v>10</v>
      </c>
      <c r="Z21" s="47">
        <v>4</v>
      </c>
      <c r="AA21" s="47">
        <v>8</v>
      </c>
      <c r="AB21" s="47">
        <v>14</v>
      </c>
      <c r="AC21" s="47">
        <v>13</v>
      </c>
      <c r="AD21" s="47">
        <v>3</v>
      </c>
      <c r="AE21" s="47">
        <v>5</v>
      </c>
      <c r="AF21" s="47">
        <v>3</v>
      </c>
      <c r="AG21" s="47">
        <f t="shared" si="11"/>
        <v>11</v>
      </c>
      <c r="AH21" s="47">
        <v>9</v>
      </c>
      <c r="AI21" s="47">
        <v>12</v>
      </c>
      <c r="AJ21" s="47">
        <v>0</v>
      </c>
      <c r="AK21" s="47">
        <v>0</v>
      </c>
      <c r="AL21" s="47">
        <f t="shared" si="14"/>
        <v>0</v>
      </c>
      <c r="AM21" s="47">
        <v>86</v>
      </c>
      <c r="AN21" s="47">
        <v>76</v>
      </c>
      <c r="AO21" s="47">
        <v>26</v>
      </c>
      <c r="AP21" s="48">
        <f t="shared" si="2"/>
        <v>40.345679012345677</v>
      </c>
      <c r="AQ21" s="48">
        <f t="shared" si="2"/>
        <v>19.372549019607842</v>
      </c>
      <c r="AR21" s="47">
        <v>0</v>
      </c>
      <c r="AS21" s="47">
        <v>10</v>
      </c>
      <c r="AT21" s="47">
        <v>26</v>
      </c>
      <c r="AU21" s="36">
        <f t="shared" si="13"/>
        <v>36</v>
      </c>
      <c r="AV21" s="47">
        <v>51</v>
      </c>
      <c r="AW21" s="47">
        <v>280</v>
      </c>
      <c r="AX21" s="47">
        <v>6</v>
      </c>
      <c r="AY21" s="47">
        <v>4</v>
      </c>
      <c r="AZ21" s="47">
        <f t="shared" si="15"/>
        <v>10</v>
      </c>
      <c r="BA21" s="47">
        <v>36</v>
      </c>
      <c r="BB21" s="47">
        <v>0</v>
      </c>
    </row>
    <row r="22" spans="1:54" customFormat="1">
      <c r="A22" s="7">
        <v>44</v>
      </c>
      <c r="B22" s="7">
        <v>1</v>
      </c>
      <c r="C22" s="34">
        <v>3</v>
      </c>
      <c r="D22" s="6">
        <v>3</v>
      </c>
      <c r="E22" s="7">
        <v>1</v>
      </c>
      <c r="F22" s="7">
        <v>2</v>
      </c>
      <c r="G22" s="7">
        <v>100000</v>
      </c>
      <c r="H22" s="7">
        <v>1</v>
      </c>
      <c r="I22" s="5">
        <v>26</v>
      </c>
      <c r="J22" s="5">
        <v>1</v>
      </c>
      <c r="K22" s="5">
        <v>0</v>
      </c>
      <c r="L22" s="72">
        <f t="shared" si="6"/>
        <v>2.3125</v>
      </c>
      <c r="M22" s="38">
        <v>37</v>
      </c>
      <c r="N22" s="18">
        <v>84.583333333333343</v>
      </c>
      <c r="O22" s="4">
        <v>67.050556999999998</v>
      </c>
      <c r="P22" s="4">
        <v>38.337403000000002</v>
      </c>
      <c r="Q22" s="4">
        <v>2.66</v>
      </c>
      <c r="R22" s="4">
        <v>8.3999999999999995E-5</v>
      </c>
      <c r="S22" s="33">
        <v>0.44130999999999998</v>
      </c>
      <c r="T22" s="33">
        <v>-0.29663099999999998</v>
      </c>
      <c r="U22" s="32">
        <v>-1.93</v>
      </c>
      <c r="V22" s="33">
        <v>-4.7897169999999996</v>
      </c>
      <c r="W22" s="47">
        <v>33</v>
      </c>
      <c r="X22" s="47">
        <v>29</v>
      </c>
      <c r="Y22" s="47">
        <v>10</v>
      </c>
      <c r="Z22" s="47">
        <v>4</v>
      </c>
      <c r="AA22" s="47">
        <v>6</v>
      </c>
      <c r="AB22" s="47">
        <v>18</v>
      </c>
      <c r="AC22" s="47">
        <v>15</v>
      </c>
      <c r="AD22" s="47">
        <v>4</v>
      </c>
      <c r="AE22" s="47">
        <v>4</v>
      </c>
      <c r="AF22" s="47">
        <v>6</v>
      </c>
      <c r="AG22" s="47">
        <f t="shared" ref="AG22:AG30" si="16">SUM(AD22:AF22)</f>
        <v>14</v>
      </c>
      <c r="AH22" s="47">
        <v>6</v>
      </c>
      <c r="AI22" s="47">
        <v>12</v>
      </c>
      <c r="AJ22" s="47">
        <v>0</v>
      </c>
      <c r="AK22" s="47">
        <v>0</v>
      </c>
      <c r="AL22" s="47">
        <f t="shared" si="14"/>
        <v>0</v>
      </c>
      <c r="AM22" s="47">
        <v>74</v>
      </c>
      <c r="AN22" s="47">
        <v>58</v>
      </c>
      <c r="AO22" s="47">
        <v>27</v>
      </c>
      <c r="AP22" s="48">
        <f t="shared" ref="AP22:AQ37" si="17">(AM22*AN22)/(AM22+AN22)</f>
        <v>32.515151515151516</v>
      </c>
      <c r="AQ22" s="48">
        <f t="shared" si="17"/>
        <v>18.423529411764704</v>
      </c>
      <c r="AR22" s="47">
        <v>0</v>
      </c>
      <c r="AS22" s="47">
        <v>14</v>
      </c>
      <c r="AT22" s="47">
        <v>17</v>
      </c>
      <c r="AU22" s="36">
        <f>SUM(AS22:AT22)</f>
        <v>31</v>
      </c>
      <c r="AV22" s="47">
        <v>155</v>
      </c>
      <c r="AW22" s="47">
        <v>400</v>
      </c>
      <c r="AX22" s="47">
        <v>5</v>
      </c>
      <c r="AY22" s="47">
        <v>6</v>
      </c>
      <c r="AZ22" s="47">
        <f t="shared" si="15"/>
        <v>11</v>
      </c>
      <c r="BA22" s="47">
        <v>14</v>
      </c>
      <c r="BB22" s="47">
        <v>0</v>
      </c>
    </row>
    <row r="23" spans="1:54" customFormat="1">
      <c r="A23" s="7">
        <v>23</v>
      </c>
      <c r="B23" s="7">
        <v>2</v>
      </c>
      <c r="C23" s="34">
        <v>3</v>
      </c>
      <c r="D23" s="6">
        <v>1</v>
      </c>
      <c r="E23" s="7">
        <v>1</v>
      </c>
      <c r="F23" s="7">
        <v>1</v>
      </c>
      <c r="G23" s="7">
        <v>100000</v>
      </c>
      <c r="H23" s="7">
        <v>1</v>
      </c>
      <c r="I23" s="5">
        <v>20</v>
      </c>
      <c r="J23" s="5">
        <v>1</v>
      </c>
      <c r="K23" s="5">
        <v>0</v>
      </c>
      <c r="L23" s="72">
        <f t="shared" si="6"/>
        <v>2.4375</v>
      </c>
      <c r="M23" s="38">
        <v>39</v>
      </c>
      <c r="N23" s="18">
        <v>95.875</v>
      </c>
      <c r="O23" s="4">
        <v>3.0255000000000001E-2</v>
      </c>
      <c r="P23" s="4">
        <v>8.6739999999999994E-3</v>
      </c>
      <c r="Q23" s="4">
        <v>0.26</v>
      </c>
      <c r="R23" s="4">
        <v>0</v>
      </c>
      <c r="S23" s="33">
        <v>-3.429319</v>
      </c>
      <c r="T23" s="33">
        <v>-3.7548119999999998</v>
      </c>
      <c r="U23" s="32">
        <v>-2.79</v>
      </c>
      <c r="V23" s="33">
        <v>-14.86558</v>
      </c>
      <c r="W23" s="47">
        <v>15</v>
      </c>
      <c r="X23" s="47">
        <v>12</v>
      </c>
      <c r="Y23" s="46">
        <v>1</v>
      </c>
      <c r="Z23" s="46">
        <v>1</v>
      </c>
      <c r="AA23" s="46">
        <v>2</v>
      </c>
      <c r="AB23" s="46">
        <v>11</v>
      </c>
      <c r="AC23" s="46">
        <v>8</v>
      </c>
      <c r="AD23" s="47">
        <v>3</v>
      </c>
      <c r="AE23" s="47">
        <v>3</v>
      </c>
      <c r="AF23" s="47">
        <v>5</v>
      </c>
      <c r="AG23" s="47">
        <f t="shared" si="16"/>
        <v>11</v>
      </c>
      <c r="AH23" s="47">
        <v>6</v>
      </c>
      <c r="AI23" s="47">
        <v>12</v>
      </c>
      <c r="AJ23" s="47">
        <v>6</v>
      </c>
      <c r="AK23" s="47">
        <v>5</v>
      </c>
      <c r="AL23" s="47">
        <f t="shared" si="14"/>
        <v>11</v>
      </c>
      <c r="AM23" s="47">
        <v>15</v>
      </c>
      <c r="AN23" s="47">
        <v>10</v>
      </c>
      <c r="AO23" s="47">
        <v>8</v>
      </c>
      <c r="AP23" s="48">
        <f t="shared" si="17"/>
        <v>6</v>
      </c>
      <c r="AQ23" s="48">
        <f t="shared" si="17"/>
        <v>4.4444444444444446</v>
      </c>
      <c r="AR23" s="47">
        <v>1</v>
      </c>
      <c r="AS23" s="47">
        <v>7</v>
      </c>
      <c r="AT23" s="47">
        <v>25</v>
      </c>
      <c r="AU23" s="36">
        <f t="shared" si="13"/>
        <v>32</v>
      </c>
      <c r="AV23" s="46">
        <v>200</v>
      </c>
      <c r="AW23" s="46">
        <v>520</v>
      </c>
      <c r="AX23" s="47">
        <v>1</v>
      </c>
      <c r="AY23" s="47">
        <v>1</v>
      </c>
      <c r="AZ23" s="47">
        <f t="shared" si="15"/>
        <v>2</v>
      </c>
      <c r="BA23" s="47">
        <v>4</v>
      </c>
      <c r="BB23" s="46">
        <v>0</v>
      </c>
    </row>
    <row r="24" spans="1:54" customFormat="1">
      <c r="A24" s="7">
        <v>18</v>
      </c>
      <c r="B24" s="7">
        <v>2</v>
      </c>
      <c r="C24" s="34">
        <v>9</v>
      </c>
      <c r="D24" s="6">
        <v>4</v>
      </c>
      <c r="E24" s="7">
        <v>1</v>
      </c>
      <c r="F24" s="7">
        <v>1</v>
      </c>
      <c r="G24" s="7">
        <v>270000</v>
      </c>
      <c r="H24" s="7">
        <v>1</v>
      </c>
      <c r="I24" s="5">
        <v>21</v>
      </c>
      <c r="J24" s="5">
        <v>0</v>
      </c>
      <c r="K24" s="5">
        <v>1</v>
      </c>
      <c r="L24" s="72">
        <f t="shared" si="6"/>
        <v>3.625</v>
      </c>
      <c r="M24" s="38">
        <v>58</v>
      </c>
      <c r="N24" s="18">
        <v>49</v>
      </c>
      <c r="O24" s="4">
        <v>40.101525000000002</v>
      </c>
      <c r="P24" s="4">
        <v>13.133815</v>
      </c>
      <c r="Q24" s="4">
        <v>5.72</v>
      </c>
      <c r="R24" s="4">
        <v>19.685095</v>
      </c>
      <c r="S24" s="33">
        <v>-0.25072</v>
      </c>
      <c r="T24" s="33">
        <v>-1.120088</v>
      </c>
      <c r="U24" s="32">
        <v>-1.58</v>
      </c>
      <c r="V24" s="33">
        <v>-0.85292299999999999</v>
      </c>
      <c r="W24" s="47">
        <v>36</v>
      </c>
      <c r="X24" s="47">
        <v>26</v>
      </c>
      <c r="Y24" s="46">
        <v>8</v>
      </c>
      <c r="Z24" s="46">
        <v>5</v>
      </c>
      <c r="AA24" s="46">
        <v>10</v>
      </c>
      <c r="AB24" s="46">
        <v>14</v>
      </c>
      <c r="AC24" s="46">
        <v>11</v>
      </c>
      <c r="AD24" s="47">
        <v>5</v>
      </c>
      <c r="AE24" s="47">
        <v>3</v>
      </c>
      <c r="AF24" s="47">
        <v>3</v>
      </c>
      <c r="AG24" s="47">
        <f t="shared" si="16"/>
        <v>11</v>
      </c>
      <c r="AH24" s="47">
        <v>7</v>
      </c>
      <c r="AI24" s="47">
        <v>11</v>
      </c>
      <c r="AJ24" s="47">
        <v>1</v>
      </c>
      <c r="AK24" s="47">
        <v>0</v>
      </c>
      <c r="AL24" s="47">
        <f t="shared" si="14"/>
        <v>1</v>
      </c>
      <c r="AM24" s="47">
        <v>96</v>
      </c>
      <c r="AN24" s="47">
        <v>57</v>
      </c>
      <c r="AO24" s="47">
        <v>29</v>
      </c>
      <c r="AP24" s="48">
        <f t="shared" si="17"/>
        <v>35.764705882352942</v>
      </c>
      <c r="AQ24" s="48">
        <f>(AN24*AO24)/(AN24+AO24)</f>
        <v>19.220930232558139</v>
      </c>
      <c r="AR24" s="47">
        <v>1</v>
      </c>
      <c r="AS24" s="46">
        <v>9</v>
      </c>
      <c r="AT24" s="46">
        <v>24</v>
      </c>
      <c r="AU24" s="36">
        <f t="shared" si="13"/>
        <v>33</v>
      </c>
      <c r="AV24" s="46">
        <v>71</v>
      </c>
      <c r="AW24" s="46">
        <v>110</v>
      </c>
      <c r="AX24" s="47">
        <v>8</v>
      </c>
      <c r="AY24" s="47">
        <v>7</v>
      </c>
      <c r="AZ24" s="47">
        <f t="shared" si="15"/>
        <v>15</v>
      </c>
      <c r="BA24" s="47">
        <v>35</v>
      </c>
      <c r="BB24" s="46">
        <v>0</v>
      </c>
    </row>
    <row r="25" spans="1:54" customFormat="1">
      <c r="A25" s="7">
        <v>42</v>
      </c>
      <c r="B25" s="7">
        <v>1</v>
      </c>
      <c r="C25" s="34">
        <v>19</v>
      </c>
      <c r="D25" s="6">
        <v>5</v>
      </c>
      <c r="E25" s="7">
        <v>1</v>
      </c>
      <c r="F25" s="7">
        <v>2</v>
      </c>
      <c r="G25" s="7">
        <v>1400000</v>
      </c>
      <c r="H25" s="7">
        <v>1</v>
      </c>
      <c r="I25" s="5">
        <v>22</v>
      </c>
      <c r="J25" s="5">
        <v>0</v>
      </c>
      <c r="K25" s="5">
        <v>1</v>
      </c>
      <c r="L25" s="72">
        <f t="shared" si="6"/>
        <v>3.375</v>
      </c>
      <c r="M25" s="38">
        <v>54</v>
      </c>
      <c r="N25" s="18">
        <v>70.4375</v>
      </c>
      <c r="O25" s="4">
        <v>15.30378</v>
      </c>
      <c r="P25" s="4">
        <v>26.164726999999999</v>
      </c>
      <c r="Q25" s="4">
        <v>8.41</v>
      </c>
      <c r="R25" s="4">
        <v>9.8402000000000003E-2</v>
      </c>
      <c r="S25" s="33">
        <v>-1.0234909999999999</v>
      </c>
      <c r="T25" s="33">
        <v>-0.63827500000000004</v>
      </c>
      <c r="U25" s="32">
        <v>-1.38</v>
      </c>
      <c r="V25" s="33">
        <v>-3.0950139999999999</v>
      </c>
      <c r="W25" s="47">
        <v>32</v>
      </c>
      <c r="X25" s="47">
        <v>22</v>
      </c>
      <c r="Y25" s="47">
        <v>12</v>
      </c>
      <c r="Z25" s="47">
        <v>9</v>
      </c>
      <c r="AA25" s="47">
        <v>13</v>
      </c>
      <c r="AB25" s="47">
        <v>17</v>
      </c>
      <c r="AC25" s="47">
        <v>12</v>
      </c>
      <c r="AD25" s="47">
        <v>4</v>
      </c>
      <c r="AE25" s="47">
        <v>7</v>
      </c>
      <c r="AF25" s="47">
        <v>3</v>
      </c>
      <c r="AG25" s="47">
        <f t="shared" si="16"/>
        <v>14</v>
      </c>
      <c r="AH25" s="47">
        <v>8</v>
      </c>
      <c r="AI25" s="47">
        <v>11</v>
      </c>
      <c r="AJ25" s="47">
        <v>0</v>
      </c>
      <c r="AK25" s="47">
        <v>0</v>
      </c>
      <c r="AL25" s="47">
        <f t="shared" ref="AL25:AL30" si="18">SUM(AJ25:AK25)</f>
        <v>0</v>
      </c>
      <c r="AM25" s="47">
        <v>91</v>
      </c>
      <c r="AN25" s="47">
        <v>54</v>
      </c>
      <c r="AO25" s="47">
        <v>29</v>
      </c>
      <c r="AP25" s="48">
        <f t="shared" si="17"/>
        <v>33.889655172413796</v>
      </c>
      <c r="AQ25" s="48">
        <f t="shared" si="17"/>
        <v>18.867469879518072</v>
      </c>
      <c r="AR25" s="47">
        <v>2</v>
      </c>
      <c r="AS25" s="47">
        <v>10</v>
      </c>
      <c r="AT25" s="47">
        <v>20</v>
      </c>
      <c r="AU25" s="36">
        <f t="shared" si="13"/>
        <v>30</v>
      </c>
      <c r="AV25" s="47">
        <v>55</v>
      </c>
      <c r="AW25" s="47">
        <v>160</v>
      </c>
      <c r="AX25" s="47">
        <v>6</v>
      </c>
      <c r="AY25" s="47">
        <v>4</v>
      </c>
      <c r="AZ25" s="47">
        <f t="shared" si="15"/>
        <v>10</v>
      </c>
      <c r="BA25" s="47">
        <v>38</v>
      </c>
      <c r="BB25" s="47">
        <v>4</v>
      </c>
    </row>
    <row r="26" spans="1:54" customFormat="1">
      <c r="A26" s="7">
        <v>73</v>
      </c>
      <c r="B26" s="7">
        <v>1</v>
      </c>
      <c r="C26" s="34">
        <v>0</v>
      </c>
      <c r="D26" s="6">
        <v>3</v>
      </c>
      <c r="E26" s="7">
        <v>1</v>
      </c>
      <c r="F26" s="7">
        <v>3</v>
      </c>
      <c r="G26" s="7">
        <v>38000</v>
      </c>
      <c r="H26" s="7">
        <v>1</v>
      </c>
      <c r="I26" s="5">
        <v>20</v>
      </c>
      <c r="J26" s="5">
        <v>0</v>
      </c>
      <c r="K26" s="5">
        <v>0</v>
      </c>
      <c r="L26" s="72">
        <f t="shared" si="6"/>
        <v>2.125</v>
      </c>
      <c r="M26" s="38">
        <v>34</v>
      </c>
      <c r="N26" s="18">
        <v>41.6875</v>
      </c>
      <c r="O26" s="4">
        <v>63.116464000000001</v>
      </c>
      <c r="P26" s="4">
        <v>22.170676</v>
      </c>
      <c r="Q26" s="4">
        <v>8.92</v>
      </c>
      <c r="R26" s="4">
        <v>3.6159999999999999E-3</v>
      </c>
      <c r="S26" s="33">
        <v>0.33494000000000002</v>
      </c>
      <c r="T26" s="33">
        <v>-0.76644199999999996</v>
      </c>
      <c r="U26" s="32">
        <v>-1.35</v>
      </c>
      <c r="V26" s="33">
        <v>-3.968521</v>
      </c>
      <c r="W26" s="47">
        <v>22</v>
      </c>
      <c r="X26" s="47">
        <v>16</v>
      </c>
      <c r="Y26" s="46">
        <v>7</v>
      </c>
      <c r="Z26" s="46">
        <v>6</v>
      </c>
      <c r="AA26" s="46">
        <v>8</v>
      </c>
      <c r="AB26" s="46">
        <v>8</v>
      </c>
      <c r="AC26" s="46">
        <v>12</v>
      </c>
      <c r="AD26" s="47">
        <v>3</v>
      </c>
      <c r="AE26" s="47">
        <v>5</v>
      </c>
      <c r="AF26" s="47">
        <v>6</v>
      </c>
      <c r="AG26" s="47">
        <f t="shared" si="16"/>
        <v>14</v>
      </c>
      <c r="AH26" s="47">
        <v>6</v>
      </c>
      <c r="AI26" s="47">
        <v>10</v>
      </c>
      <c r="AJ26" s="47">
        <v>1</v>
      </c>
      <c r="AK26" s="47">
        <v>0</v>
      </c>
      <c r="AL26" s="47">
        <f t="shared" si="18"/>
        <v>1</v>
      </c>
      <c r="AM26" s="47">
        <v>8</v>
      </c>
      <c r="AN26" s="47">
        <v>9</v>
      </c>
      <c r="AO26" s="47">
        <v>8</v>
      </c>
      <c r="AP26" s="48">
        <f t="shared" si="17"/>
        <v>4.2352941176470589</v>
      </c>
      <c r="AQ26" s="48">
        <f t="shared" si="17"/>
        <v>4.2352941176470589</v>
      </c>
      <c r="AR26" s="47">
        <v>0</v>
      </c>
      <c r="AS26" s="46">
        <v>10</v>
      </c>
      <c r="AT26" s="46">
        <v>12</v>
      </c>
      <c r="AU26" s="36">
        <f t="shared" si="13"/>
        <v>22</v>
      </c>
      <c r="AV26" s="46">
        <v>90</v>
      </c>
      <c r="AW26" s="46">
        <v>274</v>
      </c>
      <c r="AX26" s="47">
        <v>2</v>
      </c>
      <c r="AY26" s="47">
        <v>3</v>
      </c>
      <c r="AZ26" s="47">
        <f t="shared" si="15"/>
        <v>5</v>
      </c>
      <c r="BA26" s="47">
        <v>24</v>
      </c>
      <c r="BB26" s="46">
        <v>2</v>
      </c>
    </row>
    <row r="27" spans="1:54" customFormat="1">
      <c r="A27" s="7">
        <v>29</v>
      </c>
      <c r="B27" s="7">
        <v>1</v>
      </c>
      <c r="C27" s="34">
        <v>6</v>
      </c>
      <c r="D27" s="6">
        <v>3</v>
      </c>
      <c r="E27" s="7">
        <v>1</v>
      </c>
      <c r="F27" s="7">
        <v>2</v>
      </c>
      <c r="G27" s="7">
        <v>50000</v>
      </c>
      <c r="H27" s="7">
        <v>3</v>
      </c>
      <c r="I27" s="5">
        <v>24</v>
      </c>
      <c r="J27" s="5">
        <v>0</v>
      </c>
      <c r="K27" s="5">
        <v>0</v>
      </c>
      <c r="L27" s="72">
        <f t="shared" si="6"/>
        <v>2.4375</v>
      </c>
      <c r="M27" s="38">
        <v>39</v>
      </c>
      <c r="N27" s="18">
        <v>93.5</v>
      </c>
      <c r="O27" s="4">
        <v>10.930792</v>
      </c>
      <c r="P27" s="4">
        <v>0.51634800000000003</v>
      </c>
      <c r="Q27" s="4">
        <v>0.06</v>
      </c>
      <c r="R27" s="4">
        <v>1.968591</v>
      </c>
      <c r="S27" s="33">
        <v>-1.2302169999999999</v>
      </c>
      <c r="T27" s="33">
        <v>-2.5646849999999999</v>
      </c>
      <c r="U27" s="32">
        <v>-3.25</v>
      </c>
      <c r="V27" s="33">
        <v>-2.0602800000000001</v>
      </c>
      <c r="W27" s="47">
        <v>33</v>
      </c>
      <c r="X27" s="47">
        <v>12</v>
      </c>
      <c r="Y27" s="47">
        <v>5</v>
      </c>
      <c r="Z27" s="47">
        <v>5</v>
      </c>
      <c r="AA27" s="47">
        <v>7</v>
      </c>
      <c r="AB27" s="47">
        <v>11</v>
      </c>
      <c r="AC27" s="47">
        <v>8</v>
      </c>
      <c r="AD27" s="47">
        <v>4</v>
      </c>
      <c r="AE27" s="47">
        <v>4</v>
      </c>
      <c r="AF27" s="47">
        <v>9</v>
      </c>
      <c r="AG27" s="47">
        <f t="shared" si="16"/>
        <v>17</v>
      </c>
      <c r="AH27" s="47">
        <v>5</v>
      </c>
      <c r="AI27" s="47">
        <v>9</v>
      </c>
      <c r="AJ27" s="47">
        <v>1</v>
      </c>
      <c r="AK27" s="47">
        <v>0</v>
      </c>
      <c r="AL27" s="47">
        <f t="shared" si="18"/>
        <v>1</v>
      </c>
      <c r="AM27" s="47">
        <v>95</v>
      </c>
      <c r="AN27" s="47">
        <v>52</v>
      </c>
      <c r="AO27" s="47">
        <v>29</v>
      </c>
      <c r="AP27" s="48">
        <f t="shared" si="17"/>
        <v>33.605442176870746</v>
      </c>
      <c r="AQ27" s="48">
        <f>AO27-AP27</f>
        <v>-4.6054421768707456</v>
      </c>
      <c r="AR27" s="47">
        <v>1</v>
      </c>
      <c r="AS27" s="47">
        <v>11</v>
      </c>
      <c r="AT27" s="47">
        <v>19</v>
      </c>
      <c r="AU27" s="36">
        <f t="shared" si="13"/>
        <v>30</v>
      </c>
      <c r="AV27" s="47">
        <v>60</v>
      </c>
      <c r="AW27" s="47">
        <v>250</v>
      </c>
      <c r="AX27" s="47">
        <v>6</v>
      </c>
      <c r="AY27" s="47">
        <v>3</v>
      </c>
      <c r="AZ27" s="47">
        <f t="shared" si="15"/>
        <v>9</v>
      </c>
      <c r="BA27" s="47">
        <v>30</v>
      </c>
      <c r="BB27" s="47">
        <v>1</v>
      </c>
    </row>
    <row r="28" spans="1:54" customFormat="1">
      <c r="A28" s="7">
        <v>28</v>
      </c>
      <c r="B28" s="7">
        <v>2</v>
      </c>
      <c r="C28" s="34">
        <v>11</v>
      </c>
      <c r="D28" s="6">
        <v>2</v>
      </c>
      <c r="E28" s="7">
        <v>1</v>
      </c>
      <c r="F28" s="7">
        <v>1</v>
      </c>
      <c r="G28" s="7">
        <v>150000</v>
      </c>
      <c r="H28" s="7">
        <v>1</v>
      </c>
      <c r="I28" s="5">
        <v>26</v>
      </c>
      <c r="J28" s="5">
        <v>0</v>
      </c>
      <c r="K28" s="5">
        <v>0</v>
      </c>
      <c r="L28" s="72">
        <f t="shared" si="6"/>
        <v>3.5625</v>
      </c>
      <c r="M28" s="38">
        <v>57</v>
      </c>
      <c r="N28" s="18">
        <v>90.375</v>
      </c>
      <c r="O28" s="4">
        <v>56.107005999999998</v>
      </c>
      <c r="P28" s="4">
        <v>35.068634000000003</v>
      </c>
      <c r="Q28" s="4">
        <v>4.0599999999999996</v>
      </c>
      <c r="R28" s="4">
        <v>34.725802999999999</v>
      </c>
      <c r="S28" s="33">
        <v>0.15368299999999999</v>
      </c>
      <c r="T28" s="33">
        <v>-0.38346799999999998</v>
      </c>
      <c r="U28" s="32">
        <v>-1.74</v>
      </c>
      <c r="V28" s="33">
        <v>-0.39273400000000003</v>
      </c>
      <c r="W28" s="47">
        <v>35</v>
      </c>
      <c r="X28" s="47">
        <v>19</v>
      </c>
      <c r="Y28" s="47">
        <v>12</v>
      </c>
      <c r="Z28" s="47">
        <v>7</v>
      </c>
      <c r="AA28" s="47">
        <v>11</v>
      </c>
      <c r="AB28" s="47">
        <v>12</v>
      </c>
      <c r="AC28" s="47">
        <v>12</v>
      </c>
      <c r="AD28" s="47">
        <v>5</v>
      </c>
      <c r="AE28" s="47">
        <v>4</v>
      </c>
      <c r="AF28" s="47">
        <v>7</v>
      </c>
      <c r="AG28" s="47">
        <f t="shared" si="16"/>
        <v>16</v>
      </c>
      <c r="AH28" s="47">
        <v>8</v>
      </c>
      <c r="AI28" s="47">
        <v>12</v>
      </c>
      <c r="AJ28" s="47">
        <v>2</v>
      </c>
      <c r="AK28" s="47">
        <v>0</v>
      </c>
      <c r="AL28" s="47">
        <f t="shared" si="18"/>
        <v>2</v>
      </c>
      <c r="AM28" s="47">
        <v>65</v>
      </c>
      <c r="AN28" s="47">
        <v>70</v>
      </c>
      <c r="AO28" s="47">
        <v>39</v>
      </c>
      <c r="AP28" s="48">
        <f t="shared" si="17"/>
        <v>33.703703703703702</v>
      </c>
      <c r="AQ28" s="48">
        <f>AO28-AP28</f>
        <v>5.2962962962962976</v>
      </c>
      <c r="AR28" s="47">
        <v>3</v>
      </c>
      <c r="AS28" s="47">
        <v>8</v>
      </c>
      <c r="AT28" s="47">
        <v>18</v>
      </c>
      <c r="AU28" s="36">
        <f t="shared" si="13"/>
        <v>26</v>
      </c>
      <c r="AV28" s="47">
        <v>62</v>
      </c>
      <c r="AW28" s="47">
        <v>105</v>
      </c>
      <c r="AX28" s="47">
        <v>8</v>
      </c>
      <c r="AY28" s="47">
        <v>7</v>
      </c>
      <c r="AZ28" s="47">
        <f t="shared" si="15"/>
        <v>15</v>
      </c>
      <c r="BA28" s="47">
        <v>47</v>
      </c>
      <c r="BB28" s="47">
        <v>4</v>
      </c>
    </row>
    <row r="29" spans="1:54" customFormat="1">
      <c r="A29" s="7">
        <v>28</v>
      </c>
      <c r="B29" s="7">
        <v>2</v>
      </c>
      <c r="C29" s="34">
        <v>5</v>
      </c>
      <c r="D29" s="6">
        <v>1</v>
      </c>
      <c r="E29" s="7">
        <v>1</v>
      </c>
      <c r="F29" s="7">
        <v>2</v>
      </c>
      <c r="G29" s="7">
        <v>150000</v>
      </c>
      <c r="H29" s="7">
        <v>2</v>
      </c>
      <c r="I29" s="5">
        <v>21</v>
      </c>
      <c r="J29" s="5">
        <v>1</v>
      </c>
      <c r="K29" s="5">
        <v>0</v>
      </c>
      <c r="L29" s="72">
        <f t="shared" si="6"/>
        <v>2.5625</v>
      </c>
      <c r="M29" s="38">
        <v>41</v>
      </c>
      <c r="N29" s="18">
        <v>78.6875</v>
      </c>
      <c r="O29" s="4">
        <v>3.4410999999999997E-2</v>
      </c>
      <c r="P29" s="4">
        <v>21.734490000000001</v>
      </c>
      <c r="Q29" s="4">
        <v>0.33</v>
      </c>
      <c r="R29" s="4">
        <v>9.9999999999999995E-7</v>
      </c>
      <c r="S29" s="33">
        <v>-3.3942329999999998</v>
      </c>
      <c r="T29" s="33">
        <v>-0.781192</v>
      </c>
      <c r="U29" s="32">
        <v>-2.71</v>
      </c>
      <c r="V29" s="33">
        <v>-5.5687740000000003</v>
      </c>
      <c r="W29" s="47">
        <v>10</v>
      </c>
      <c r="X29" s="47">
        <v>9</v>
      </c>
      <c r="Y29" s="47">
        <v>5</v>
      </c>
      <c r="Z29" s="47">
        <v>8</v>
      </c>
      <c r="AA29" s="47">
        <v>9</v>
      </c>
      <c r="AB29" s="47">
        <v>15</v>
      </c>
      <c r="AC29" s="47">
        <v>13</v>
      </c>
      <c r="AD29" s="47">
        <v>6</v>
      </c>
      <c r="AE29" s="47">
        <v>8</v>
      </c>
      <c r="AF29" s="47">
        <v>7</v>
      </c>
      <c r="AG29" s="47">
        <f t="shared" si="16"/>
        <v>21</v>
      </c>
      <c r="AH29" s="47">
        <v>5</v>
      </c>
      <c r="AI29" s="47">
        <v>10</v>
      </c>
      <c r="AJ29" s="47">
        <v>1</v>
      </c>
      <c r="AK29" s="47">
        <v>0</v>
      </c>
      <c r="AL29" s="47">
        <f t="shared" si="18"/>
        <v>1</v>
      </c>
      <c r="AM29" s="47">
        <v>70</v>
      </c>
      <c r="AN29" s="47">
        <v>52</v>
      </c>
      <c r="AO29" s="47">
        <v>38</v>
      </c>
      <c r="AP29" s="48">
        <f t="shared" si="17"/>
        <v>29.83606557377049</v>
      </c>
      <c r="AQ29" s="48">
        <f>AO29-AP29</f>
        <v>8.1639344262295097</v>
      </c>
      <c r="AR29" s="47">
        <v>2</v>
      </c>
      <c r="AS29" s="46">
        <v>25</v>
      </c>
      <c r="AT29" s="46">
        <v>10</v>
      </c>
      <c r="AU29" s="36">
        <f t="shared" si="13"/>
        <v>35</v>
      </c>
      <c r="AV29" s="47">
        <v>72</v>
      </c>
      <c r="AW29" s="47">
        <v>320</v>
      </c>
      <c r="AX29" s="47">
        <v>1</v>
      </c>
      <c r="AY29" s="47">
        <v>2</v>
      </c>
      <c r="AZ29" s="47">
        <f t="shared" si="15"/>
        <v>3</v>
      </c>
      <c r="BA29" s="47">
        <v>25</v>
      </c>
      <c r="BB29" s="47">
        <v>1</v>
      </c>
    </row>
    <row r="30" spans="1:54" customFormat="1">
      <c r="A30" s="7">
        <v>41</v>
      </c>
      <c r="B30" s="7">
        <v>2</v>
      </c>
      <c r="C30" s="34">
        <v>11</v>
      </c>
      <c r="D30" s="6">
        <v>3</v>
      </c>
      <c r="E30" s="7">
        <v>1</v>
      </c>
      <c r="F30" s="7">
        <v>2</v>
      </c>
      <c r="G30" s="7">
        <v>125000</v>
      </c>
      <c r="H30" s="7">
        <v>2</v>
      </c>
      <c r="I30" s="5">
        <v>23</v>
      </c>
      <c r="J30" s="5">
        <v>0</v>
      </c>
      <c r="K30" s="5">
        <v>0</v>
      </c>
      <c r="L30" s="72">
        <f t="shared" si="6"/>
        <v>2.5625</v>
      </c>
      <c r="M30" s="38">
        <v>41</v>
      </c>
      <c r="N30" s="18">
        <v>74.875</v>
      </c>
      <c r="O30" s="4">
        <v>29.980854999999998</v>
      </c>
      <c r="P30" s="4">
        <v>61.840798999999997</v>
      </c>
      <c r="Q30" s="4">
        <v>2.13</v>
      </c>
      <c r="R30" s="4">
        <v>53.444487000000002</v>
      </c>
      <c r="S30" s="33">
        <v>-0.52495099999999995</v>
      </c>
      <c r="T30" s="33">
        <v>0.30130200000000001</v>
      </c>
      <c r="U30" s="32">
        <v>-2.0299999999999998</v>
      </c>
      <c r="V30" s="33">
        <v>8.6447999999999997E-2</v>
      </c>
      <c r="W30" s="47">
        <v>28</v>
      </c>
      <c r="X30" s="47">
        <v>20</v>
      </c>
      <c r="Y30" s="47">
        <v>12</v>
      </c>
      <c r="Z30" s="47">
        <v>9</v>
      </c>
      <c r="AA30" s="47">
        <v>6</v>
      </c>
      <c r="AB30" s="47">
        <v>14</v>
      </c>
      <c r="AC30" s="47">
        <v>16</v>
      </c>
      <c r="AD30" s="47">
        <v>0</v>
      </c>
      <c r="AE30" s="47">
        <v>4</v>
      </c>
      <c r="AF30" s="47">
        <v>5</v>
      </c>
      <c r="AG30" s="47">
        <f t="shared" si="16"/>
        <v>9</v>
      </c>
      <c r="AH30" s="47">
        <v>9</v>
      </c>
      <c r="AI30" s="47">
        <v>12</v>
      </c>
      <c r="AJ30" s="47">
        <v>3</v>
      </c>
      <c r="AK30" s="47">
        <v>0</v>
      </c>
      <c r="AL30" s="47">
        <f t="shared" si="18"/>
        <v>3</v>
      </c>
      <c r="AM30" s="47">
        <v>110</v>
      </c>
      <c r="AN30" s="47">
        <v>69</v>
      </c>
      <c r="AO30" s="47">
        <v>38</v>
      </c>
      <c r="AP30" s="48">
        <f t="shared" si="17"/>
        <v>42.402234636871505</v>
      </c>
      <c r="AQ30" s="48">
        <f>AO30-AP30</f>
        <v>-4.4022346368715048</v>
      </c>
      <c r="AR30" s="47">
        <v>2</v>
      </c>
      <c r="AS30" s="47">
        <v>8</v>
      </c>
      <c r="AT30" s="47">
        <v>17</v>
      </c>
      <c r="AU30" s="36">
        <f t="shared" si="13"/>
        <v>25</v>
      </c>
      <c r="AV30" s="47">
        <v>59</v>
      </c>
      <c r="AW30" s="47">
        <v>261</v>
      </c>
      <c r="AX30" s="47">
        <v>4</v>
      </c>
      <c r="AY30" s="47">
        <v>9</v>
      </c>
      <c r="AZ30" s="47">
        <f t="shared" ref="AZ30:AZ89" si="19">SUM(AX30:AY30)</f>
        <v>13</v>
      </c>
      <c r="BA30" s="47">
        <v>31</v>
      </c>
      <c r="BB30" s="47">
        <v>1</v>
      </c>
    </row>
    <row r="31" spans="1:54" customFormat="1">
      <c r="A31" s="7">
        <v>21</v>
      </c>
      <c r="B31" s="7">
        <v>2</v>
      </c>
      <c r="C31" s="34">
        <v>0</v>
      </c>
      <c r="D31" s="6">
        <v>2</v>
      </c>
      <c r="E31" s="7">
        <v>1</v>
      </c>
      <c r="F31" s="7">
        <v>2</v>
      </c>
      <c r="G31" s="7">
        <v>100000</v>
      </c>
      <c r="H31" s="7">
        <v>1</v>
      </c>
      <c r="I31" s="5">
        <v>24</v>
      </c>
      <c r="J31" s="5">
        <v>0</v>
      </c>
      <c r="K31" s="5">
        <v>0</v>
      </c>
      <c r="L31" s="72">
        <f t="shared" si="6"/>
        <v>1.75</v>
      </c>
      <c r="M31" s="38">
        <v>28</v>
      </c>
      <c r="N31" s="18">
        <v>98.125</v>
      </c>
      <c r="O31" s="4">
        <v>6.4334000000000002E-2</v>
      </c>
      <c r="P31" s="4">
        <v>0.121147</v>
      </c>
      <c r="Q31" s="4">
        <v>13.8</v>
      </c>
      <c r="R31" s="4">
        <v>0</v>
      </c>
      <c r="S31" s="33">
        <v>-3.2189359999999998</v>
      </c>
      <c r="T31" s="33">
        <v>-3.0328029999999999</v>
      </c>
      <c r="U31" s="32">
        <v>-1.0900000000000001</v>
      </c>
      <c r="V31" s="33">
        <v>-6.886673</v>
      </c>
      <c r="W31" s="47">
        <v>15</v>
      </c>
      <c r="X31" s="47">
        <v>7</v>
      </c>
      <c r="Y31" s="47">
        <v>3</v>
      </c>
      <c r="Z31" s="47">
        <v>0</v>
      </c>
      <c r="AA31" s="47">
        <v>3</v>
      </c>
      <c r="AB31" s="47">
        <v>11</v>
      </c>
      <c r="AC31" s="47">
        <v>12</v>
      </c>
      <c r="AD31" s="47">
        <v>6</v>
      </c>
      <c r="AE31" s="47">
        <v>7</v>
      </c>
      <c r="AF31" s="47">
        <v>7</v>
      </c>
      <c r="AG31" s="47">
        <f t="shared" ref="AG31:AG85" si="20">SUM(AD31:AF31)</f>
        <v>20</v>
      </c>
      <c r="AH31" s="47">
        <v>5</v>
      </c>
      <c r="AI31" s="47">
        <v>10</v>
      </c>
      <c r="AJ31" s="47">
        <v>1</v>
      </c>
      <c r="AK31" s="47">
        <v>0</v>
      </c>
      <c r="AL31" s="47">
        <f t="shared" ref="AL31:AL39" si="21">SUM(AJ31:AK31)</f>
        <v>1</v>
      </c>
      <c r="AM31" s="47">
        <v>105</v>
      </c>
      <c r="AN31" s="47">
        <v>45</v>
      </c>
      <c r="AO31" s="47">
        <v>39</v>
      </c>
      <c r="AP31" s="48">
        <f t="shared" si="17"/>
        <v>31.5</v>
      </c>
      <c r="AQ31" s="48">
        <f t="shared" ref="AQ31:AQ89" si="22">AO31-AP31</f>
        <v>7.5</v>
      </c>
      <c r="AR31" s="47">
        <v>2</v>
      </c>
      <c r="AS31" s="47">
        <v>6</v>
      </c>
      <c r="AT31" s="47">
        <v>19</v>
      </c>
      <c r="AU31" s="36">
        <f t="shared" ref="AU31:AU40" si="23">SUM(AS31:AT31)</f>
        <v>25</v>
      </c>
      <c r="AV31" s="47">
        <v>141</v>
      </c>
      <c r="AW31" s="47">
        <v>300</v>
      </c>
      <c r="AX31" s="47">
        <v>2</v>
      </c>
      <c r="AY31" s="47">
        <v>2</v>
      </c>
      <c r="AZ31" s="47">
        <f t="shared" si="19"/>
        <v>4</v>
      </c>
      <c r="BA31" s="47">
        <v>5</v>
      </c>
      <c r="BB31" s="47">
        <v>1</v>
      </c>
    </row>
    <row r="32" spans="1:54" customFormat="1">
      <c r="A32" s="7">
        <v>36</v>
      </c>
      <c r="B32" s="7">
        <v>1</v>
      </c>
      <c r="C32" s="34">
        <v>3</v>
      </c>
      <c r="D32" s="6">
        <v>6</v>
      </c>
      <c r="E32" s="7">
        <v>1</v>
      </c>
      <c r="F32" s="7">
        <v>2</v>
      </c>
      <c r="G32" s="7">
        <v>400000</v>
      </c>
      <c r="H32" s="7">
        <v>1</v>
      </c>
      <c r="I32" s="5">
        <v>25</v>
      </c>
      <c r="J32" s="5">
        <v>1</v>
      </c>
      <c r="K32" s="5">
        <v>0</v>
      </c>
      <c r="L32" s="72">
        <f t="shared" si="6"/>
        <v>1.9375</v>
      </c>
      <c r="M32" s="38">
        <v>31</v>
      </c>
      <c r="N32" s="18">
        <v>96.25</v>
      </c>
      <c r="O32" s="4">
        <v>55.322347000000001</v>
      </c>
      <c r="P32" s="4">
        <v>34.391984999999998</v>
      </c>
      <c r="Q32" s="4">
        <v>3.95</v>
      </c>
      <c r="R32" s="4">
        <v>4.4419E-2</v>
      </c>
      <c r="S32" s="33">
        <v>0.13381000000000001</v>
      </c>
      <c r="T32" s="33">
        <v>-0.40178799999999998</v>
      </c>
      <c r="U32" s="32">
        <v>-1.76</v>
      </c>
      <c r="V32" s="33">
        <v>-3.32368</v>
      </c>
      <c r="W32" s="47">
        <v>34</v>
      </c>
      <c r="X32" s="47">
        <v>27</v>
      </c>
      <c r="Y32" s="47">
        <v>10</v>
      </c>
      <c r="Z32" s="47">
        <v>7</v>
      </c>
      <c r="AA32" s="47">
        <v>11</v>
      </c>
      <c r="AB32" s="47">
        <v>16</v>
      </c>
      <c r="AC32" s="47">
        <v>11</v>
      </c>
      <c r="AD32" s="47">
        <v>4</v>
      </c>
      <c r="AE32" s="47">
        <v>3</v>
      </c>
      <c r="AF32" s="47">
        <v>3</v>
      </c>
      <c r="AG32" s="47">
        <f t="shared" si="20"/>
        <v>10</v>
      </c>
      <c r="AH32" s="47">
        <v>8</v>
      </c>
      <c r="AI32" s="47">
        <v>12</v>
      </c>
      <c r="AJ32" s="47">
        <v>3</v>
      </c>
      <c r="AK32" s="47">
        <v>0</v>
      </c>
      <c r="AL32" s="47">
        <f t="shared" si="21"/>
        <v>3</v>
      </c>
      <c r="AM32" s="47">
        <v>63</v>
      </c>
      <c r="AN32" s="47">
        <v>57</v>
      </c>
      <c r="AO32" s="47">
        <v>30</v>
      </c>
      <c r="AP32" s="48">
        <f t="shared" si="17"/>
        <v>29.925000000000001</v>
      </c>
      <c r="AQ32" s="48">
        <f t="shared" si="22"/>
        <v>7.4999999999999289E-2</v>
      </c>
      <c r="AR32" s="47">
        <v>2</v>
      </c>
      <c r="AS32" s="46">
        <v>5</v>
      </c>
      <c r="AT32" s="46">
        <v>17</v>
      </c>
      <c r="AU32" s="36">
        <f t="shared" si="23"/>
        <v>22</v>
      </c>
      <c r="AV32" s="47">
        <v>75</v>
      </c>
      <c r="AW32" s="47">
        <v>152</v>
      </c>
      <c r="AX32" s="47">
        <v>3</v>
      </c>
      <c r="AY32" s="47">
        <v>2</v>
      </c>
      <c r="AZ32" s="47">
        <f t="shared" si="19"/>
        <v>5</v>
      </c>
      <c r="BA32" s="47">
        <v>17</v>
      </c>
      <c r="BB32" s="47">
        <v>2</v>
      </c>
    </row>
    <row r="33" spans="1:54" customFormat="1">
      <c r="A33" s="7">
        <v>22</v>
      </c>
      <c r="B33" s="7">
        <v>1</v>
      </c>
      <c r="C33" s="34">
        <v>11</v>
      </c>
      <c r="D33" s="6">
        <v>1</v>
      </c>
      <c r="E33" s="7">
        <v>1</v>
      </c>
      <c r="F33" s="7">
        <v>2</v>
      </c>
      <c r="G33" s="7">
        <v>400000</v>
      </c>
      <c r="H33" s="7">
        <v>2</v>
      </c>
      <c r="I33" s="5">
        <v>22</v>
      </c>
      <c r="J33" s="5">
        <v>0</v>
      </c>
      <c r="K33" s="5">
        <v>0</v>
      </c>
      <c r="L33" s="72">
        <f t="shared" si="6"/>
        <v>3.5</v>
      </c>
      <c r="M33" s="38">
        <v>56</v>
      </c>
      <c r="N33" s="18">
        <v>98.75</v>
      </c>
      <c r="O33" s="4">
        <v>89.958432999999999</v>
      </c>
      <c r="P33" s="4">
        <v>99.971664000000004</v>
      </c>
      <c r="Q33" s="4">
        <v>43.94</v>
      </c>
      <c r="R33" s="4">
        <v>36.696156999999999</v>
      </c>
      <c r="S33" s="33">
        <v>1.2791870000000001</v>
      </c>
      <c r="T33" s="33">
        <v>3.447063</v>
      </c>
      <c r="U33" s="32">
        <v>-0.15</v>
      </c>
      <c r="V33" s="33">
        <v>-0.33991199999999999</v>
      </c>
      <c r="W33" s="47">
        <v>35</v>
      </c>
      <c r="X33" s="47">
        <v>32</v>
      </c>
      <c r="Y33" s="47">
        <v>15</v>
      </c>
      <c r="Z33" s="47">
        <v>16</v>
      </c>
      <c r="AA33" s="47">
        <v>21</v>
      </c>
      <c r="AB33" s="47">
        <v>17</v>
      </c>
      <c r="AC33" s="47">
        <v>22</v>
      </c>
      <c r="AD33" s="47">
        <v>5</v>
      </c>
      <c r="AE33" s="47">
        <v>7</v>
      </c>
      <c r="AF33" s="47">
        <v>8</v>
      </c>
      <c r="AG33" s="47">
        <f t="shared" si="20"/>
        <v>20</v>
      </c>
      <c r="AH33" s="47">
        <v>8</v>
      </c>
      <c r="AI33" s="47">
        <v>11</v>
      </c>
      <c r="AJ33" s="47">
        <v>1</v>
      </c>
      <c r="AK33" s="47">
        <v>0</v>
      </c>
      <c r="AL33" s="47">
        <f t="shared" si="21"/>
        <v>1</v>
      </c>
      <c r="AM33" s="47">
        <v>82</v>
      </c>
      <c r="AN33" s="47">
        <v>68</v>
      </c>
      <c r="AO33" s="47">
        <v>38</v>
      </c>
      <c r="AP33" s="48">
        <f t="shared" si="17"/>
        <v>37.173333333333332</v>
      </c>
      <c r="AQ33" s="48">
        <f t="shared" si="22"/>
        <v>0.82666666666666799</v>
      </c>
      <c r="AR33" s="47">
        <v>4</v>
      </c>
      <c r="AS33" s="46">
        <v>2</v>
      </c>
      <c r="AT33" s="46">
        <v>6</v>
      </c>
      <c r="AU33" s="36">
        <f t="shared" si="23"/>
        <v>8</v>
      </c>
      <c r="AV33" s="47">
        <v>42</v>
      </c>
      <c r="AW33" s="47">
        <v>89</v>
      </c>
      <c r="AX33" s="47">
        <v>8</v>
      </c>
      <c r="AY33" s="47">
        <v>7</v>
      </c>
      <c r="AZ33" s="47">
        <f t="shared" si="19"/>
        <v>15</v>
      </c>
      <c r="BA33" s="47">
        <v>25</v>
      </c>
      <c r="BB33" s="47">
        <v>1</v>
      </c>
    </row>
    <row r="34" spans="1:54" customFormat="1">
      <c r="A34" s="7">
        <v>30</v>
      </c>
      <c r="B34" s="7">
        <v>1</v>
      </c>
      <c r="C34" s="34">
        <v>6</v>
      </c>
      <c r="D34" s="6">
        <v>7</v>
      </c>
      <c r="E34" s="7">
        <v>1</v>
      </c>
      <c r="F34" s="7">
        <v>1</v>
      </c>
      <c r="G34" s="7">
        <v>500000</v>
      </c>
      <c r="H34" s="7">
        <v>3</v>
      </c>
      <c r="I34" s="5">
        <v>21</v>
      </c>
      <c r="J34" s="5">
        <v>0</v>
      </c>
      <c r="K34" s="5">
        <v>0</v>
      </c>
      <c r="L34" s="72">
        <f t="shared" si="6"/>
        <v>2.75</v>
      </c>
      <c r="M34" s="38">
        <v>44</v>
      </c>
      <c r="N34" s="18">
        <v>87.625</v>
      </c>
      <c r="O34" s="4">
        <v>0.13661400000000001</v>
      </c>
      <c r="P34" s="4">
        <v>3.7664149999999998</v>
      </c>
      <c r="Q34" s="4">
        <v>0.68</v>
      </c>
      <c r="R34" s="4">
        <v>0</v>
      </c>
      <c r="S34" s="33">
        <v>-2.9963540000000002</v>
      </c>
      <c r="T34" s="33">
        <v>-1.7784599999999999</v>
      </c>
      <c r="U34" s="32">
        <v>-2.4700000000000002</v>
      </c>
      <c r="V34" s="33">
        <v>-9.2186419999999991</v>
      </c>
      <c r="W34" s="47">
        <v>22</v>
      </c>
      <c r="X34" s="47">
        <v>12</v>
      </c>
      <c r="Y34" s="47">
        <v>3</v>
      </c>
      <c r="Z34" s="47">
        <v>8</v>
      </c>
      <c r="AA34" s="47">
        <v>6</v>
      </c>
      <c r="AB34" s="47">
        <v>12</v>
      </c>
      <c r="AC34" s="47">
        <v>13</v>
      </c>
      <c r="AD34" s="47">
        <v>3</v>
      </c>
      <c r="AE34" s="47">
        <v>6</v>
      </c>
      <c r="AF34" s="47">
        <v>2</v>
      </c>
      <c r="AG34" s="47">
        <f t="shared" si="20"/>
        <v>11</v>
      </c>
      <c r="AH34" s="47">
        <v>5</v>
      </c>
      <c r="AI34" s="47">
        <v>9</v>
      </c>
      <c r="AJ34" s="47">
        <v>2</v>
      </c>
      <c r="AK34" s="47">
        <v>0</v>
      </c>
      <c r="AL34" s="47">
        <f t="shared" si="21"/>
        <v>2</v>
      </c>
      <c r="AM34" s="47">
        <v>89</v>
      </c>
      <c r="AN34" s="47">
        <v>52</v>
      </c>
      <c r="AO34" s="47">
        <v>28</v>
      </c>
      <c r="AP34" s="48">
        <f t="shared" si="17"/>
        <v>32.822695035460995</v>
      </c>
      <c r="AQ34" s="48">
        <f t="shared" si="22"/>
        <v>-4.8226950354609954</v>
      </c>
      <c r="AR34" s="47">
        <v>2</v>
      </c>
      <c r="AS34" s="46">
        <v>15</v>
      </c>
      <c r="AT34" s="46">
        <v>9</v>
      </c>
      <c r="AU34" s="36">
        <f t="shared" si="23"/>
        <v>24</v>
      </c>
      <c r="AV34" s="47">
        <v>137</v>
      </c>
      <c r="AW34" s="47">
        <v>853</v>
      </c>
      <c r="AX34" s="47">
        <v>0</v>
      </c>
      <c r="AY34" s="47">
        <v>0</v>
      </c>
      <c r="AZ34" s="47">
        <f t="shared" si="19"/>
        <v>0</v>
      </c>
      <c r="BA34" s="47">
        <v>8</v>
      </c>
      <c r="BB34" s="47">
        <v>7</v>
      </c>
    </row>
    <row r="35" spans="1:54" customFormat="1">
      <c r="A35" s="7">
        <v>35</v>
      </c>
      <c r="B35" s="7">
        <v>1</v>
      </c>
      <c r="C35" s="34">
        <v>4</v>
      </c>
      <c r="D35" s="6">
        <v>3</v>
      </c>
      <c r="E35" s="7">
        <v>1</v>
      </c>
      <c r="F35" s="7">
        <v>2</v>
      </c>
      <c r="G35" s="7">
        <v>100000</v>
      </c>
      <c r="H35" s="7">
        <v>1</v>
      </c>
      <c r="I35" s="5">
        <v>25</v>
      </c>
      <c r="J35" s="5">
        <v>1</v>
      </c>
      <c r="K35" s="5">
        <v>0</v>
      </c>
      <c r="L35" s="72">
        <f t="shared" si="6"/>
        <v>2.3125</v>
      </c>
      <c r="M35" s="38">
        <v>37</v>
      </c>
      <c r="N35" s="18">
        <v>38.5625</v>
      </c>
      <c r="O35" s="4">
        <v>39.263426000000003</v>
      </c>
      <c r="P35" s="4">
        <v>2.3265530000000001</v>
      </c>
      <c r="Q35" s="4">
        <v>0.15</v>
      </c>
      <c r="R35" s="4">
        <v>0</v>
      </c>
      <c r="S35" s="33">
        <v>-0.27245999999999998</v>
      </c>
      <c r="T35" s="33">
        <v>-1.9905440000000001</v>
      </c>
      <c r="U35" s="32">
        <v>-2.96</v>
      </c>
      <c r="V35" s="33">
        <v>-6.0222020000000001</v>
      </c>
      <c r="W35" s="47">
        <v>32</v>
      </c>
      <c r="X35" s="47">
        <v>28</v>
      </c>
      <c r="Y35" s="47">
        <v>6</v>
      </c>
      <c r="Z35" s="47">
        <v>5</v>
      </c>
      <c r="AA35" s="47">
        <v>6</v>
      </c>
      <c r="AB35" s="47">
        <v>13</v>
      </c>
      <c r="AC35" s="47">
        <v>10</v>
      </c>
      <c r="AD35" s="47">
        <v>3</v>
      </c>
      <c r="AE35" s="47">
        <v>5</v>
      </c>
      <c r="AF35" s="47">
        <v>6</v>
      </c>
      <c r="AG35" s="47">
        <f t="shared" si="20"/>
        <v>14</v>
      </c>
      <c r="AH35" s="47">
        <v>6</v>
      </c>
      <c r="AI35" s="47">
        <v>9</v>
      </c>
      <c r="AJ35" s="47">
        <v>0</v>
      </c>
      <c r="AK35" s="47">
        <v>0</v>
      </c>
      <c r="AL35" s="47">
        <f t="shared" si="21"/>
        <v>0</v>
      </c>
      <c r="AM35" s="47">
        <v>56</v>
      </c>
      <c r="AN35" s="47">
        <v>40</v>
      </c>
      <c r="AO35" s="47">
        <v>18</v>
      </c>
      <c r="AP35" s="48">
        <f t="shared" si="17"/>
        <v>23.333333333333332</v>
      </c>
      <c r="AQ35" s="48">
        <f t="shared" si="22"/>
        <v>-5.3333333333333321</v>
      </c>
      <c r="AR35" s="47">
        <v>1</v>
      </c>
      <c r="AS35" s="46">
        <v>9</v>
      </c>
      <c r="AT35" s="46">
        <v>15</v>
      </c>
      <c r="AU35" s="36">
        <f t="shared" si="23"/>
        <v>24</v>
      </c>
      <c r="AV35" s="47">
        <v>102</v>
      </c>
      <c r="AW35" s="47">
        <v>377</v>
      </c>
      <c r="AX35" s="47">
        <v>3</v>
      </c>
      <c r="AY35" s="47">
        <v>3</v>
      </c>
      <c r="AZ35" s="47">
        <f t="shared" si="19"/>
        <v>6</v>
      </c>
      <c r="BA35" s="47">
        <v>11</v>
      </c>
      <c r="BB35" s="47">
        <v>5</v>
      </c>
    </row>
    <row r="36" spans="1:54" customFormat="1">
      <c r="A36" s="7">
        <v>35</v>
      </c>
      <c r="B36" s="7">
        <v>2</v>
      </c>
      <c r="C36" s="34">
        <v>7</v>
      </c>
      <c r="D36" s="6">
        <v>1</v>
      </c>
      <c r="E36" s="7">
        <v>1</v>
      </c>
      <c r="F36" s="7">
        <v>2</v>
      </c>
      <c r="G36" s="7">
        <v>200000</v>
      </c>
      <c r="H36" s="7">
        <v>1</v>
      </c>
      <c r="I36" s="5">
        <v>22</v>
      </c>
      <c r="J36" s="5">
        <v>0</v>
      </c>
      <c r="K36" s="5">
        <v>0</v>
      </c>
      <c r="L36" s="72">
        <f t="shared" si="6"/>
        <v>2.1875</v>
      </c>
      <c r="M36" s="38">
        <v>35</v>
      </c>
      <c r="N36" s="18">
        <v>89.5</v>
      </c>
      <c r="O36" s="4">
        <v>28.949736000000001</v>
      </c>
      <c r="P36" s="4">
        <v>8.8312690000000007</v>
      </c>
      <c r="Q36" s="4">
        <v>1.6</v>
      </c>
      <c r="R36" s="4">
        <v>1.5495999999999999E-2</v>
      </c>
      <c r="S36" s="33">
        <v>-0.55485399999999996</v>
      </c>
      <c r="T36" s="33">
        <v>-1.3512189999999999</v>
      </c>
      <c r="U36" s="32">
        <v>-2.14</v>
      </c>
      <c r="V36" s="33">
        <v>-3.606862</v>
      </c>
      <c r="W36" s="47">
        <v>28</v>
      </c>
      <c r="X36" s="47">
        <v>18</v>
      </c>
      <c r="Y36" s="47">
        <v>10</v>
      </c>
      <c r="Z36" s="47">
        <v>4</v>
      </c>
      <c r="AA36" s="47">
        <v>6</v>
      </c>
      <c r="AB36" s="47">
        <v>14</v>
      </c>
      <c r="AC36" s="47">
        <v>10</v>
      </c>
      <c r="AD36" s="47">
        <v>3</v>
      </c>
      <c r="AE36" s="47">
        <v>6</v>
      </c>
      <c r="AF36" s="47">
        <v>7</v>
      </c>
      <c r="AG36" s="47">
        <f t="shared" si="20"/>
        <v>16</v>
      </c>
      <c r="AH36" s="47">
        <v>8</v>
      </c>
      <c r="AI36" s="47">
        <v>10</v>
      </c>
      <c r="AJ36" s="47">
        <v>1</v>
      </c>
      <c r="AK36" s="47">
        <v>0</v>
      </c>
      <c r="AL36" s="47">
        <f t="shared" si="21"/>
        <v>1</v>
      </c>
      <c r="AM36" s="47">
        <v>60</v>
      </c>
      <c r="AN36" s="47">
        <v>50</v>
      </c>
      <c r="AO36" s="47">
        <v>27</v>
      </c>
      <c r="AP36" s="48">
        <f t="shared" si="17"/>
        <v>27.272727272727273</v>
      </c>
      <c r="AQ36" s="48">
        <f t="shared" si="22"/>
        <v>-0.27272727272727337</v>
      </c>
      <c r="AR36" s="47">
        <v>2</v>
      </c>
      <c r="AS36" s="46">
        <v>10</v>
      </c>
      <c r="AT36" s="46">
        <v>12</v>
      </c>
      <c r="AU36" s="36">
        <f t="shared" si="23"/>
        <v>22</v>
      </c>
      <c r="AV36" s="47">
        <v>80</v>
      </c>
      <c r="AW36" s="47">
        <v>260</v>
      </c>
      <c r="AX36" s="47">
        <v>5</v>
      </c>
      <c r="AY36" s="47">
        <v>5</v>
      </c>
      <c r="AZ36" s="47">
        <f t="shared" si="19"/>
        <v>10</v>
      </c>
      <c r="BA36" s="47">
        <v>22</v>
      </c>
      <c r="BB36" s="47">
        <v>2</v>
      </c>
    </row>
    <row r="37" spans="1:54" customFormat="1">
      <c r="A37" s="7">
        <v>36</v>
      </c>
      <c r="B37" s="7">
        <v>1</v>
      </c>
      <c r="C37" s="34">
        <v>9</v>
      </c>
      <c r="D37" s="6">
        <v>3</v>
      </c>
      <c r="E37" s="7">
        <v>1</v>
      </c>
      <c r="F37" s="7">
        <v>2</v>
      </c>
      <c r="G37" s="7">
        <v>250000</v>
      </c>
      <c r="H37" s="7">
        <v>1</v>
      </c>
      <c r="I37" s="5">
        <v>24</v>
      </c>
      <c r="J37" s="5">
        <v>0</v>
      </c>
      <c r="K37" s="5">
        <v>0</v>
      </c>
      <c r="L37" s="72">
        <f t="shared" si="6"/>
        <v>1.0625</v>
      </c>
      <c r="M37" s="38">
        <v>17</v>
      </c>
      <c r="N37" s="18">
        <v>89.375</v>
      </c>
      <c r="O37" s="4">
        <v>57.562171999999997</v>
      </c>
      <c r="P37" s="4">
        <v>82.135284999999996</v>
      </c>
      <c r="Q37" s="4">
        <v>8.59</v>
      </c>
      <c r="R37" s="4">
        <v>3.4211269999999998</v>
      </c>
      <c r="S37" s="33">
        <v>0.19070500000000001</v>
      </c>
      <c r="T37" s="33">
        <v>0.92053300000000005</v>
      </c>
      <c r="U37" s="32">
        <v>-1.37</v>
      </c>
      <c r="V37" s="33">
        <v>-1.822214</v>
      </c>
      <c r="W37" s="47">
        <v>28</v>
      </c>
      <c r="X37" s="47">
        <v>20</v>
      </c>
      <c r="Y37" s="47">
        <v>10</v>
      </c>
      <c r="Z37" s="47">
        <v>8</v>
      </c>
      <c r="AA37" s="47">
        <v>9</v>
      </c>
      <c r="AB37" s="47">
        <v>18</v>
      </c>
      <c r="AC37" s="47">
        <v>20</v>
      </c>
      <c r="AD37" s="47">
        <v>5</v>
      </c>
      <c r="AE37" s="47">
        <v>6</v>
      </c>
      <c r="AF37" s="47">
        <v>6</v>
      </c>
      <c r="AG37" s="47">
        <f t="shared" si="20"/>
        <v>17</v>
      </c>
      <c r="AH37" s="47">
        <v>9</v>
      </c>
      <c r="AI37" s="47">
        <v>12</v>
      </c>
      <c r="AJ37" s="47">
        <v>1</v>
      </c>
      <c r="AK37" s="47">
        <v>0</v>
      </c>
      <c r="AL37" s="47">
        <f t="shared" si="21"/>
        <v>1</v>
      </c>
      <c r="AM37" s="47">
        <v>60</v>
      </c>
      <c r="AN37" s="47">
        <v>50</v>
      </c>
      <c r="AO37" s="47">
        <v>28</v>
      </c>
      <c r="AP37" s="48">
        <f t="shared" si="17"/>
        <v>27.272727272727273</v>
      </c>
      <c r="AQ37" s="48">
        <f t="shared" si="22"/>
        <v>0.72727272727272663</v>
      </c>
      <c r="AR37" s="47">
        <v>3</v>
      </c>
      <c r="AS37" s="46">
        <v>8</v>
      </c>
      <c r="AT37" s="46">
        <v>12</v>
      </c>
      <c r="AU37" s="36">
        <f t="shared" si="23"/>
        <v>20</v>
      </c>
      <c r="AV37" s="47">
        <v>42</v>
      </c>
      <c r="AW37" s="47">
        <v>150</v>
      </c>
      <c r="AX37" s="47">
        <v>5</v>
      </c>
      <c r="AY37" s="47">
        <v>6</v>
      </c>
      <c r="AZ37" s="47">
        <f t="shared" si="19"/>
        <v>11</v>
      </c>
      <c r="BA37" s="47">
        <v>28</v>
      </c>
      <c r="BB37" s="47">
        <v>0</v>
      </c>
    </row>
    <row r="38" spans="1:54" customFormat="1">
      <c r="A38" s="7">
        <v>31</v>
      </c>
      <c r="B38" s="7">
        <v>2</v>
      </c>
      <c r="C38" s="34">
        <v>2</v>
      </c>
      <c r="D38" s="6">
        <v>1</v>
      </c>
      <c r="E38" s="7">
        <v>1</v>
      </c>
      <c r="F38" s="7">
        <v>2</v>
      </c>
      <c r="G38" s="7">
        <v>100000</v>
      </c>
      <c r="H38" s="7">
        <v>1</v>
      </c>
      <c r="I38" s="5">
        <v>25</v>
      </c>
      <c r="J38" s="5">
        <v>1</v>
      </c>
      <c r="K38" s="5">
        <v>0</v>
      </c>
      <c r="L38" s="72">
        <f t="shared" si="6"/>
        <v>2.25</v>
      </c>
      <c r="M38" s="38">
        <v>36</v>
      </c>
      <c r="N38" s="18">
        <v>95.625</v>
      </c>
      <c r="O38" s="4">
        <v>30.535893000000002</v>
      </c>
      <c r="P38" s="4">
        <v>23.525704999999999</v>
      </c>
      <c r="Q38" s="4">
        <v>0.03</v>
      </c>
      <c r="R38" s="4">
        <v>4.6700000000000002E-4</v>
      </c>
      <c r="S38" s="33">
        <v>-0.50904899999999997</v>
      </c>
      <c r="T38" s="33">
        <v>-0.72164300000000003</v>
      </c>
      <c r="U38" s="32">
        <v>-3.46</v>
      </c>
      <c r="V38" s="33">
        <v>-4.4318860000000004</v>
      </c>
      <c r="W38" s="47">
        <v>28</v>
      </c>
      <c r="X38" s="47">
        <v>22</v>
      </c>
      <c r="Y38" s="47">
        <v>9</v>
      </c>
      <c r="Z38" s="47">
        <v>6</v>
      </c>
      <c r="AA38" s="47">
        <v>10</v>
      </c>
      <c r="AB38" s="47">
        <v>11</v>
      </c>
      <c r="AC38" s="47">
        <v>14</v>
      </c>
      <c r="AD38" s="47">
        <v>3</v>
      </c>
      <c r="AE38" s="47">
        <v>7</v>
      </c>
      <c r="AF38" s="47">
        <v>6</v>
      </c>
      <c r="AG38" s="47">
        <f t="shared" si="20"/>
        <v>16</v>
      </c>
      <c r="AH38" s="47">
        <v>7</v>
      </c>
      <c r="AI38" s="47">
        <v>12</v>
      </c>
      <c r="AJ38" s="47">
        <v>3</v>
      </c>
      <c r="AK38" s="47">
        <v>0</v>
      </c>
      <c r="AL38" s="47">
        <f t="shared" si="21"/>
        <v>3</v>
      </c>
      <c r="AM38" s="47">
        <v>71</v>
      </c>
      <c r="AN38" s="47">
        <v>56</v>
      </c>
      <c r="AO38" s="47">
        <v>23</v>
      </c>
      <c r="AP38" s="48">
        <f t="shared" ref="AP38:AP89" si="24">(AM38*AN38)/(AM38+AN38)</f>
        <v>31.30708661417323</v>
      </c>
      <c r="AQ38" s="48">
        <f t="shared" si="22"/>
        <v>-8.3070866141732296</v>
      </c>
      <c r="AR38" s="47">
        <v>1</v>
      </c>
      <c r="AS38" s="46">
        <v>5</v>
      </c>
      <c r="AT38" s="46">
        <v>21</v>
      </c>
      <c r="AU38" s="36">
        <f t="shared" si="23"/>
        <v>26</v>
      </c>
      <c r="AV38" s="47">
        <v>59</v>
      </c>
      <c r="AW38" s="47">
        <v>497</v>
      </c>
      <c r="AX38" s="47">
        <v>4</v>
      </c>
      <c r="AY38" s="47">
        <v>5</v>
      </c>
      <c r="AZ38" s="47">
        <f t="shared" si="19"/>
        <v>9</v>
      </c>
      <c r="BA38" s="47">
        <v>21</v>
      </c>
      <c r="BB38" s="47">
        <v>5</v>
      </c>
    </row>
    <row r="39" spans="1:54" customFormat="1">
      <c r="A39" s="7">
        <v>66</v>
      </c>
      <c r="B39" s="7">
        <v>1</v>
      </c>
      <c r="C39" s="34">
        <v>0</v>
      </c>
      <c r="D39" s="6">
        <v>1</v>
      </c>
      <c r="E39" s="7">
        <v>1</v>
      </c>
      <c r="F39" s="7">
        <v>4</v>
      </c>
      <c r="G39" s="7">
        <v>200000</v>
      </c>
      <c r="H39" s="7">
        <v>1</v>
      </c>
      <c r="I39" s="5">
        <v>26</v>
      </c>
      <c r="J39" s="5">
        <v>0</v>
      </c>
      <c r="K39" s="5">
        <v>0</v>
      </c>
      <c r="L39" s="72">
        <f t="shared" si="6"/>
        <v>1.625</v>
      </c>
      <c r="M39" s="38">
        <v>26</v>
      </c>
      <c r="N39" s="18">
        <v>71.625</v>
      </c>
      <c r="O39" s="4">
        <v>24.201915</v>
      </c>
      <c r="P39" s="4">
        <v>3.2307589999999999</v>
      </c>
      <c r="Q39" s="4">
        <v>2.62</v>
      </c>
      <c r="R39" s="4">
        <v>0.16561699999999999</v>
      </c>
      <c r="S39" s="33">
        <v>-0.69982200000000006</v>
      </c>
      <c r="T39" s="33">
        <v>-1.8479110000000001</v>
      </c>
      <c r="U39" s="32">
        <v>-1.94</v>
      </c>
      <c r="V39" s="33">
        <v>-2.9371589999999999</v>
      </c>
      <c r="W39" s="47">
        <v>18</v>
      </c>
      <c r="X39" s="47">
        <v>12</v>
      </c>
      <c r="Y39" s="47">
        <v>2</v>
      </c>
      <c r="Z39" s="47">
        <v>1</v>
      </c>
      <c r="AA39" s="47">
        <v>3</v>
      </c>
      <c r="AB39" s="47">
        <v>15</v>
      </c>
      <c r="AC39" s="47">
        <v>12</v>
      </c>
      <c r="AD39" s="47">
        <v>2</v>
      </c>
      <c r="AE39" s="47">
        <v>3</v>
      </c>
      <c r="AF39" s="47">
        <v>5</v>
      </c>
      <c r="AG39" s="47">
        <f t="shared" si="20"/>
        <v>10</v>
      </c>
      <c r="AH39" s="47">
        <v>7</v>
      </c>
      <c r="AI39" s="47">
        <v>12</v>
      </c>
      <c r="AJ39" s="47">
        <v>0</v>
      </c>
      <c r="AK39" s="47">
        <v>0</v>
      </c>
      <c r="AL39" s="47">
        <f t="shared" si="21"/>
        <v>0</v>
      </c>
      <c r="AM39" s="47">
        <v>66</v>
      </c>
      <c r="AN39" s="47">
        <v>50</v>
      </c>
      <c r="AO39" s="47">
        <v>28</v>
      </c>
      <c r="AP39" s="48">
        <f t="shared" si="24"/>
        <v>28.448275862068964</v>
      </c>
      <c r="AQ39" s="48">
        <f t="shared" si="22"/>
        <v>-0.44827586206896441</v>
      </c>
      <c r="AR39" s="47">
        <v>1</v>
      </c>
      <c r="AS39" s="46">
        <v>20</v>
      </c>
      <c r="AT39" s="46">
        <v>11</v>
      </c>
      <c r="AU39" s="36">
        <f t="shared" si="23"/>
        <v>31</v>
      </c>
      <c r="AV39" s="47">
        <v>108</v>
      </c>
      <c r="AW39" s="47">
        <v>309</v>
      </c>
      <c r="AX39" s="47">
        <v>3</v>
      </c>
      <c r="AY39" s="47">
        <v>1</v>
      </c>
      <c r="AZ39" s="47">
        <f t="shared" si="19"/>
        <v>4</v>
      </c>
      <c r="BA39" s="47">
        <v>6</v>
      </c>
      <c r="BB39" s="47">
        <v>0</v>
      </c>
    </row>
    <row r="40" spans="1:54" customFormat="1">
      <c r="A40" s="7">
        <v>19</v>
      </c>
      <c r="B40" s="7">
        <v>2</v>
      </c>
      <c r="C40" s="34">
        <v>9</v>
      </c>
      <c r="D40" s="6">
        <v>1</v>
      </c>
      <c r="E40" s="7">
        <v>1</v>
      </c>
      <c r="F40" s="7">
        <v>2</v>
      </c>
      <c r="G40" s="7">
        <v>300000</v>
      </c>
      <c r="H40" s="7">
        <v>2</v>
      </c>
      <c r="I40" s="5">
        <v>24</v>
      </c>
      <c r="J40" s="5">
        <v>0</v>
      </c>
      <c r="K40" s="5">
        <v>0</v>
      </c>
      <c r="L40" s="72">
        <f t="shared" si="6"/>
        <v>3.375</v>
      </c>
      <c r="M40" s="38">
        <v>54</v>
      </c>
      <c r="N40" s="18">
        <v>75.5625</v>
      </c>
      <c r="O40" s="4">
        <v>8.7231459999999998</v>
      </c>
      <c r="P40" s="4">
        <v>70.523298999999994</v>
      </c>
      <c r="Q40" s="4">
        <v>6.47</v>
      </c>
      <c r="R40" s="4">
        <v>5.6966000000000003E-2</v>
      </c>
      <c r="S40" s="33">
        <v>-1.3580019999999999</v>
      </c>
      <c r="T40" s="33">
        <v>0.53951099999999996</v>
      </c>
      <c r="U40" s="32">
        <v>-1.52</v>
      </c>
      <c r="V40" s="33">
        <v>-3.2536499999999999</v>
      </c>
      <c r="W40" s="47">
        <v>23</v>
      </c>
      <c r="X40" s="47">
        <v>10</v>
      </c>
      <c r="Y40" s="46">
        <v>8</v>
      </c>
      <c r="Z40" s="47">
        <v>6</v>
      </c>
      <c r="AA40" s="47">
        <v>7</v>
      </c>
      <c r="AB40" s="47">
        <v>20</v>
      </c>
      <c r="AC40" s="47">
        <v>20</v>
      </c>
      <c r="AD40" s="47">
        <v>3</v>
      </c>
      <c r="AE40" s="47">
        <v>7</v>
      </c>
      <c r="AF40" s="47">
        <v>9</v>
      </c>
      <c r="AG40" s="47">
        <f t="shared" si="20"/>
        <v>19</v>
      </c>
      <c r="AH40" s="47">
        <v>9</v>
      </c>
      <c r="AI40" s="47">
        <v>12</v>
      </c>
      <c r="AJ40" s="47">
        <v>4</v>
      </c>
      <c r="AK40" s="47">
        <v>6</v>
      </c>
      <c r="AL40" s="47">
        <f t="shared" si="7"/>
        <v>10</v>
      </c>
      <c r="AM40" s="47">
        <v>62</v>
      </c>
      <c r="AN40" s="47">
        <v>46</v>
      </c>
      <c r="AO40" s="47">
        <v>26</v>
      </c>
      <c r="AP40" s="48">
        <f t="shared" si="24"/>
        <v>26.407407407407408</v>
      </c>
      <c r="AQ40" s="48">
        <f t="shared" si="22"/>
        <v>-0.40740740740740833</v>
      </c>
      <c r="AR40" s="47">
        <v>3</v>
      </c>
      <c r="AS40" s="47">
        <v>4</v>
      </c>
      <c r="AT40" s="47">
        <v>17</v>
      </c>
      <c r="AU40" s="36">
        <f t="shared" si="23"/>
        <v>21</v>
      </c>
      <c r="AV40" s="46">
        <v>60</v>
      </c>
      <c r="AW40" s="46">
        <v>127</v>
      </c>
      <c r="AX40" s="47">
        <v>4</v>
      </c>
      <c r="AY40" s="47">
        <v>5</v>
      </c>
      <c r="AZ40" s="47">
        <f t="shared" si="19"/>
        <v>9</v>
      </c>
      <c r="BA40" s="47">
        <v>27</v>
      </c>
      <c r="BB40" s="47">
        <v>5</v>
      </c>
    </row>
    <row r="41" spans="1:54" customFormat="1">
      <c r="A41" s="7">
        <v>24</v>
      </c>
      <c r="B41" s="7">
        <v>1</v>
      </c>
      <c r="C41" s="34">
        <v>12</v>
      </c>
      <c r="D41" s="6">
        <v>8</v>
      </c>
      <c r="E41" s="7">
        <v>1</v>
      </c>
      <c r="F41" s="7">
        <v>1</v>
      </c>
      <c r="G41" s="7">
        <v>400000</v>
      </c>
      <c r="H41" s="7">
        <v>2</v>
      </c>
      <c r="I41" s="5">
        <v>27</v>
      </c>
      <c r="J41" s="5">
        <v>0</v>
      </c>
      <c r="K41" s="5">
        <v>0</v>
      </c>
      <c r="L41" s="72">
        <f t="shared" si="6"/>
        <v>2.875</v>
      </c>
      <c r="M41" s="38">
        <v>46</v>
      </c>
      <c r="N41" s="18">
        <v>79.479166666666671</v>
      </c>
      <c r="O41" s="4">
        <v>85.356802999999999</v>
      </c>
      <c r="P41" s="4">
        <v>33.139704000000002</v>
      </c>
      <c r="Q41" s="4">
        <v>76.03</v>
      </c>
      <c r="R41" s="4">
        <v>27.759626000000001</v>
      </c>
      <c r="S41" s="33">
        <v>1.05186</v>
      </c>
      <c r="T41" s="33">
        <v>-0.43605899999999997</v>
      </c>
      <c r="U41" s="32">
        <v>0.71</v>
      </c>
      <c r="V41" s="33">
        <v>-0.58999699999999999</v>
      </c>
      <c r="W41" s="47">
        <v>27</v>
      </c>
      <c r="X41" s="47">
        <v>24</v>
      </c>
      <c r="Y41" s="47">
        <v>11</v>
      </c>
      <c r="Z41" s="47">
        <v>12</v>
      </c>
      <c r="AA41" s="47">
        <v>7</v>
      </c>
      <c r="AB41" s="47">
        <v>12</v>
      </c>
      <c r="AC41" s="47">
        <v>13</v>
      </c>
      <c r="AD41" s="47">
        <v>7</v>
      </c>
      <c r="AE41" s="47">
        <v>9</v>
      </c>
      <c r="AF41" s="47">
        <v>10</v>
      </c>
      <c r="AG41" s="47">
        <f t="shared" si="20"/>
        <v>26</v>
      </c>
      <c r="AH41" s="47">
        <v>10</v>
      </c>
      <c r="AI41" s="47">
        <v>12</v>
      </c>
      <c r="AJ41" s="47">
        <v>1</v>
      </c>
      <c r="AK41" s="47">
        <v>0</v>
      </c>
      <c r="AL41" s="47">
        <f t="shared" si="7"/>
        <v>1</v>
      </c>
      <c r="AM41" s="47">
        <v>93</v>
      </c>
      <c r="AN41" s="47">
        <v>48</v>
      </c>
      <c r="AO41" s="47">
        <v>38</v>
      </c>
      <c r="AP41" s="48">
        <f t="shared" si="24"/>
        <v>31.659574468085108</v>
      </c>
      <c r="AQ41" s="48">
        <f t="shared" si="22"/>
        <v>6.3404255319148923</v>
      </c>
      <c r="AR41" s="47">
        <v>6</v>
      </c>
      <c r="AS41" s="47">
        <v>3</v>
      </c>
      <c r="AT41" s="47">
        <v>6</v>
      </c>
      <c r="AU41" s="36">
        <f t="shared" ref="AU41:AU89" si="25">SUM(AS41:AT41)</f>
        <v>9</v>
      </c>
      <c r="AV41" s="47">
        <v>67</v>
      </c>
      <c r="AW41" s="47">
        <v>110</v>
      </c>
      <c r="AX41" s="47">
        <v>7</v>
      </c>
      <c r="AY41" s="47">
        <v>5</v>
      </c>
      <c r="AZ41" s="47">
        <f t="shared" si="19"/>
        <v>12</v>
      </c>
      <c r="BA41" s="47">
        <v>52</v>
      </c>
      <c r="BB41" s="47">
        <v>1</v>
      </c>
    </row>
    <row r="42" spans="1:54" customFormat="1">
      <c r="A42" s="7">
        <v>64</v>
      </c>
      <c r="B42" s="7">
        <v>2</v>
      </c>
      <c r="C42" s="34">
        <v>0</v>
      </c>
      <c r="D42" s="6">
        <v>1</v>
      </c>
      <c r="E42" s="7">
        <v>1</v>
      </c>
      <c r="F42" s="7">
        <v>1</v>
      </c>
      <c r="G42" s="7">
        <v>200000</v>
      </c>
      <c r="H42" s="7">
        <v>2</v>
      </c>
      <c r="I42" s="5">
        <v>27</v>
      </c>
      <c r="J42" s="5">
        <v>0</v>
      </c>
      <c r="K42" s="5">
        <v>0</v>
      </c>
      <c r="L42" s="72">
        <f t="shared" si="6"/>
        <v>2.5</v>
      </c>
      <c r="M42" s="38">
        <v>40</v>
      </c>
      <c r="N42" s="18">
        <v>48.875</v>
      </c>
      <c r="O42" s="4">
        <v>24.636709</v>
      </c>
      <c r="P42" s="4">
        <v>0.111819</v>
      </c>
      <c r="Q42" s="4">
        <v>4.5199999999999996</v>
      </c>
      <c r="R42" s="4">
        <v>9.9999999999999995E-7</v>
      </c>
      <c r="S42" s="33">
        <v>-0.68596699999999999</v>
      </c>
      <c r="T42" s="33">
        <v>-3.0569000000000002</v>
      </c>
      <c r="U42" s="32">
        <v>-1.69</v>
      </c>
      <c r="V42" s="33">
        <v>-5.67502</v>
      </c>
      <c r="W42" s="47">
        <v>17</v>
      </c>
      <c r="X42" s="47">
        <v>12</v>
      </c>
      <c r="Y42" s="46">
        <v>3</v>
      </c>
      <c r="Z42" s="46">
        <v>1</v>
      </c>
      <c r="AA42" s="46">
        <v>4</v>
      </c>
      <c r="AB42" s="46">
        <v>8</v>
      </c>
      <c r="AC42" s="46">
        <v>6</v>
      </c>
      <c r="AD42" s="47">
        <v>3</v>
      </c>
      <c r="AE42" s="47">
        <v>4</v>
      </c>
      <c r="AF42" s="47">
        <v>5</v>
      </c>
      <c r="AG42" s="47">
        <f t="shared" si="20"/>
        <v>12</v>
      </c>
      <c r="AH42" s="47">
        <v>7</v>
      </c>
      <c r="AI42" s="47">
        <v>12</v>
      </c>
      <c r="AJ42" s="47">
        <v>0</v>
      </c>
      <c r="AK42" s="47">
        <v>0</v>
      </c>
      <c r="AL42" s="47">
        <f t="shared" si="7"/>
        <v>0</v>
      </c>
      <c r="AM42" s="47">
        <v>22</v>
      </c>
      <c r="AN42" s="47">
        <v>15</v>
      </c>
      <c r="AO42" s="47">
        <v>16</v>
      </c>
      <c r="AP42" s="48">
        <f t="shared" si="24"/>
        <v>8.9189189189189193</v>
      </c>
      <c r="AQ42" s="48">
        <f t="shared" si="22"/>
        <v>7.0810810810810807</v>
      </c>
      <c r="AR42" s="47">
        <v>1</v>
      </c>
      <c r="AS42" s="46">
        <v>15</v>
      </c>
      <c r="AT42" s="46">
        <v>17</v>
      </c>
      <c r="AU42" s="36">
        <f t="shared" si="25"/>
        <v>32</v>
      </c>
      <c r="AV42" s="46">
        <v>130</v>
      </c>
      <c r="AW42" s="46">
        <v>280</v>
      </c>
      <c r="AX42" s="47">
        <v>2</v>
      </c>
      <c r="AY42" s="47">
        <v>4</v>
      </c>
      <c r="AZ42" s="47">
        <f t="shared" si="19"/>
        <v>6</v>
      </c>
      <c r="BA42" s="47">
        <v>6</v>
      </c>
      <c r="BB42" s="46">
        <v>1</v>
      </c>
    </row>
    <row r="43" spans="1:54" customFormat="1">
      <c r="A43" s="7">
        <v>19</v>
      </c>
      <c r="B43" s="7">
        <v>1</v>
      </c>
      <c r="C43" s="34">
        <v>9</v>
      </c>
      <c r="D43" s="6">
        <v>3</v>
      </c>
      <c r="E43" s="7">
        <v>1</v>
      </c>
      <c r="F43" s="7">
        <v>1</v>
      </c>
      <c r="G43" s="7">
        <v>200000</v>
      </c>
      <c r="H43" s="7">
        <v>1</v>
      </c>
      <c r="I43" s="5">
        <v>21</v>
      </c>
      <c r="J43" s="5">
        <v>0</v>
      </c>
      <c r="K43" s="5">
        <v>1</v>
      </c>
      <c r="L43" s="72">
        <f t="shared" si="6"/>
        <v>3.3125</v>
      </c>
      <c r="M43" s="38">
        <v>53</v>
      </c>
      <c r="N43" s="18">
        <v>56.1875</v>
      </c>
      <c r="O43" s="4">
        <v>25.216235999999999</v>
      </c>
      <c r="P43" s="4">
        <v>89.436058000000003</v>
      </c>
      <c r="Q43" s="4">
        <v>34.6</v>
      </c>
      <c r="R43" s="4">
        <v>17.965358999999999</v>
      </c>
      <c r="S43" s="33">
        <v>-0.66770099999999999</v>
      </c>
      <c r="T43" s="33">
        <v>1.250057</v>
      </c>
      <c r="U43" s="32">
        <v>-0.4</v>
      </c>
      <c r="V43" s="33">
        <v>-0.916686</v>
      </c>
      <c r="W43" s="47">
        <v>27</v>
      </c>
      <c r="X43" s="47">
        <v>26</v>
      </c>
      <c r="Y43" s="47">
        <v>12</v>
      </c>
      <c r="Z43" s="47">
        <v>8</v>
      </c>
      <c r="AA43" s="47">
        <v>16</v>
      </c>
      <c r="AB43" s="47">
        <v>17</v>
      </c>
      <c r="AC43" s="47">
        <v>18</v>
      </c>
      <c r="AD43" s="47">
        <v>5</v>
      </c>
      <c r="AE43" s="47">
        <v>8</v>
      </c>
      <c r="AF43" s="47">
        <v>6</v>
      </c>
      <c r="AG43" s="47">
        <f t="shared" si="20"/>
        <v>19</v>
      </c>
      <c r="AH43" s="47">
        <v>6</v>
      </c>
      <c r="AI43" s="47">
        <v>9</v>
      </c>
      <c r="AJ43" s="47">
        <v>4</v>
      </c>
      <c r="AK43" s="47">
        <v>6</v>
      </c>
      <c r="AL43" s="47">
        <f t="shared" si="7"/>
        <v>10</v>
      </c>
      <c r="AM43" s="47">
        <v>98</v>
      </c>
      <c r="AN43" s="47">
        <v>39</v>
      </c>
      <c r="AO43" s="47">
        <v>33</v>
      </c>
      <c r="AP43" s="48">
        <f t="shared" si="24"/>
        <v>27.897810218978101</v>
      </c>
      <c r="AQ43" s="48">
        <f t="shared" si="22"/>
        <v>5.1021897810218988</v>
      </c>
      <c r="AR43" s="47">
        <v>3</v>
      </c>
      <c r="AS43" s="47">
        <v>1</v>
      </c>
      <c r="AT43" s="47">
        <v>20</v>
      </c>
      <c r="AU43" s="36">
        <f t="shared" si="25"/>
        <v>21</v>
      </c>
      <c r="AV43" s="47">
        <v>46</v>
      </c>
      <c r="AW43" s="47">
        <v>81</v>
      </c>
      <c r="AX43" s="47">
        <v>7</v>
      </c>
      <c r="AY43" s="47">
        <v>6</v>
      </c>
      <c r="AZ43" s="47">
        <f t="shared" si="19"/>
        <v>13</v>
      </c>
      <c r="BA43" s="47">
        <v>26</v>
      </c>
      <c r="BB43" s="47">
        <v>9</v>
      </c>
    </row>
    <row r="44" spans="1:54" customFormat="1">
      <c r="A44" s="7">
        <v>33</v>
      </c>
      <c r="B44" s="7">
        <v>1</v>
      </c>
      <c r="C44" s="34">
        <v>5</v>
      </c>
      <c r="D44" s="6">
        <v>3</v>
      </c>
      <c r="E44" s="7">
        <v>1</v>
      </c>
      <c r="F44" s="7">
        <v>1</v>
      </c>
      <c r="G44" s="7">
        <v>80000</v>
      </c>
      <c r="H44" s="7">
        <v>1</v>
      </c>
      <c r="I44" s="5">
        <v>28</v>
      </c>
      <c r="J44" s="5">
        <v>1</v>
      </c>
      <c r="K44" s="5">
        <v>0</v>
      </c>
      <c r="L44" s="72">
        <f t="shared" si="6"/>
        <v>2.3125</v>
      </c>
      <c r="M44" s="38">
        <v>37</v>
      </c>
      <c r="N44" s="18">
        <v>59.854166666666671</v>
      </c>
      <c r="O44" s="4">
        <v>8.1941450000000007</v>
      </c>
      <c r="P44" s="4">
        <v>45.059190999999998</v>
      </c>
      <c r="Q44" s="4">
        <v>0</v>
      </c>
      <c r="R44" s="4">
        <v>1.0549999999999999E-3</v>
      </c>
      <c r="S44" s="33">
        <v>-1.3921300000000001</v>
      </c>
      <c r="T44" s="33">
        <v>-0.124166</v>
      </c>
      <c r="U44" s="32">
        <v>-4.1399999999999997</v>
      </c>
      <c r="V44" s="33">
        <v>-4.2528959999999998</v>
      </c>
      <c r="W44" s="47">
        <v>23</v>
      </c>
      <c r="X44" s="47">
        <v>12</v>
      </c>
      <c r="Y44" s="47">
        <v>8</v>
      </c>
      <c r="Z44" s="47">
        <v>7</v>
      </c>
      <c r="AA44" s="47">
        <v>8</v>
      </c>
      <c r="AB44" s="47">
        <v>20</v>
      </c>
      <c r="AC44" s="47">
        <v>14</v>
      </c>
      <c r="AD44" s="47">
        <v>5</v>
      </c>
      <c r="AE44" s="47">
        <v>6</v>
      </c>
      <c r="AF44" s="47">
        <v>6</v>
      </c>
      <c r="AG44" s="47">
        <f t="shared" si="20"/>
        <v>17</v>
      </c>
      <c r="AH44" s="47">
        <v>6</v>
      </c>
      <c r="AI44" s="47">
        <v>12</v>
      </c>
      <c r="AJ44" s="47">
        <v>1</v>
      </c>
      <c r="AK44" s="47">
        <v>0</v>
      </c>
      <c r="AL44" s="47">
        <f t="shared" si="7"/>
        <v>1</v>
      </c>
      <c r="AM44" s="47">
        <v>92</v>
      </c>
      <c r="AN44" s="47">
        <v>50</v>
      </c>
      <c r="AO44" s="47">
        <v>25</v>
      </c>
      <c r="AP44" s="48">
        <f t="shared" si="24"/>
        <v>32.394366197183096</v>
      </c>
      <c r="AQ44" s="48">
        <f t="shared" si="22"/>
        <v>-7.3943661971830963</v>
      </c>
      <c r="AR44" s="47">
        <v>0</v>
      </c>
      <c r="AS44" s="47">
        <v>10</v>
      </c>
      <c r="AT44" s="47">
        <v>25</v>
      </c>
      <c r="AU44" s="36">
        <f t="shared" si="25"/>
        <v>35</v>
      </c>
      <c r="AV44" s="47">
        <v>104</v>
      </c>
      <c r="AW44" s="47">
        <v>404</v>
      </c>
      <c r="AX44" s="47">
        <v>6</v>
      </c>
      <c r="AY44" s="47">
        <v>2</v>
      </c>
      <c r="AZ44" s="47">
        <f t="shared" si="19"/>
        <v>8</v>
      </c>
      <c r="BA44" s="47">
        <v>20</v>
      </c>
      <c r="BB44" s="47">
        <v>14</v>
      </c>
    </row>
    <row r="45" spans="1:54" customFormat="1">
      <c r="A45" s="7">
        <v>35</v>
      </c>
      <c r="B45" s="7">
        <v>2</v>
      </c>
      <c r="C45" s="34">
        <v>9</v>
      </c>
      <c r="D45" s="6">
        <v>2</v>
      </c>
      <c r="E45" s="7">
        <v>1</v>
      </c>
      <c r="F45" s="7">
        <v>2</v>
      </c>
      <c r="G45" s="7">
        <v>200000</v>
      </c>
      <c r="H45" s="7">
        <v>1</v>
      </c>
      <c r="I45" s="5">
        <v>25</v>
      </c>
      <c r="J45" s="5">
        <v>0</v>
      </c>
      <c r="K45" s="5">
        <v>0</v>
      </c>
      <c r="L45" s="72">
        <f t="shared" si="6"/>
        <v>2.625</v>
      </c>
      <c r="M45" s="38">
        <v>42</v>
      </c>
      <c r="N45" s="18">
        <v>31.375</v>
      </c>
      <c r="O45" s="4">
        <v>0.78276900000000005</v>
      </c>
      <c r="P45" s="4">
        <v>7.482977</v>
      </c>
      <c r="Q45" s="4">
        <v>4.1500000000000004</v>
      </c>
      <c r="R45" s="4">
        <v>7.6579999999999999E-3</v>
      </c>
      <c r="S45" s="33">
        <v>-2.416852</v>
      </c>
      <c r="T45" s="33">
        <v>-1.4407350000000001</v>
      </c>
      <c r="U45" s="32">
        <v>-1.73</v>
      </c>
      <c r="V45" s="33">
        <v>-3.7858879999999999</v>
      </c>
      <c r="W45" s="47">
        <v>14</v>
      </c>
      <c r="X45" s="47">
        <v>10</v>
      </c>
      <c r="Y45" s="47">
        <v>4</v>
      </c>
      <c r="Z45" s="47">
        <v>3</v>
      </c>
      <c r="AA45" s="47">
        <v>7</v>
      </c>
      <c r="AB45" s="47">
        <v>17</v>
      </c>
      <c r="AC45" s="47">
        <v>12</v>
      </c>
      <c r="AD45" s="47">
        <v>3</v>
      </c>
      <c r="AE45" s="47">
        <v>4</v>
      </c>
      <c r="AF45" s="47">
        <v>7</v>
      </c>
      <c r="AG45" s="47">
        <f t="shared" si="20"/>
        <v>14</v>
      </c>
      <c r="AH45" s="47">
        <v>6</v>
      </c>
      <c r="AI45" s="47">
        <v>12</v>
      </c>
      <c r="AJ45" s="47">
        <v>2</v>
      </c>
      <c r="AK45" s="47">
        <v>0</v>
      </c>
      <c r="AL45" s="47">
        <f t="shared" si="7"/>
        <v>2</v>
      </c>
      <c r="AM45" s="47">
        <v>73</v>
      </c>
      <c r="AN45" s="47">
        <v>61</v>
      </c>
      <c r="AO45" s="47">
        <v>35</v>
      </c>
      <c r="AP45" s="48">
        <f t="shared" si="24"/>
        <v>33.231343283582092</v>
      </c>
      <c r="AQ45" s="48">
        <f t="shared" si="22"/>
        <v>1.7686567164179081</v>
      </c>
      <c r="AR45" s="47">
        <v>2</v>
      </c>
      <c r="AS45" s="46">
        <v>11</v>
      </c>
      <c r="AT45" s="46">
        <v>11</v>
      </c>
      <c r="AU45" s="36">
        <f t="shared" si="25"/>
        <v>22</v>
      </c>
      <c r="AV45" s="47">
        <v>65</v>
      </c>
      <c r="AW45" s="47">
        <v>480</v>
      </c>
      <c r="AX45" s="47">
        <v>4</v>
      </c>
      <c r="AY45" s="47">
        <v>5</v>
      </c>
      <c r="AZ45" s="47">
        <f t="shared" si="19"/>
        <v>9</v>
      </c>
      <c r="BA45" s="47">
        <v>28</v>
      </c>
      <c r="BB45" s="47">
        <v>1</v>
      </c>
    </row>
    <row r="46" spans="1:54" customFormat="1">
      <c r="A46" s="7">
        <v>36</v>
      </c>
      <c r="B46" s="7">
        <v>2</v>
      </c>
      <c r="C46" s="34">
        <v>2</v>
      </c>
      <c r="D46" s="6">
        <v>2</v>
      </c>
      <c r="E46" s="7">
        <v>1</v>
      </c>
      <c r="F46" s="7">
        <v>2</v>
      </c>
      <c r="G46" s="7">
        <v>200000</v>
      </c>
      <c r="H46" s="7">
        <v>2</v>
      </c>
      <c r="I46" s="5">
        <v>25</v>
      </c>
      <c r="J46" s="5">
        <v>1</v>
      </c>
      <c r="K46" s="5">
        <v>0</v>
      </c>
      <c r="L46" s="72">
        <f t="shared" si="6"/>
        <v>2.9375</v>
      </c>
      <c r="M46" s="38">
        <v>47</v>
      </c>
      <c r="N46" s="18">
        <v>82.625</v>
      </c>
      <c r="O46" s="4">
        <v>0.39808900000000003</v>
      </c>
      <c r="P46" s="4">
        <v>7.0547579999999996</v>
      </c>
      <c r="Q46" s="4">
        <v>1.43</v>
      </c>
      <c r="R46" s="4">
        <v>0</v>
      </c>
      <c r="S46" s="33">
        <v>-2.653686</v>
      </c>
      <c r="T46" s="33">
        <v>-1.4717249999999999</v>
      </c>
      <c r="U46" s="32">
        <v>-2.19</v>
      </c>
      <c r="V46" s="33">
        <v>-7.9527320000000001</v>
      </c>
      <c r="W46" s="47">
        <v>17</v>
      </c>
      <c r="X46" s="47">
        <v>12</v>
      </c>
      <c r="Y46" s="47">
        <v>6</v>
      </c>
      <c r="Z46" s="47">
        <v>7</v>
      </c>
      <c r="AA46" s="47">
        <v>5</v>
      </c>
      <c r="AB46" s="47">
        <v>11</v>
      </c>
      <c r="AC46" s="47">
        <v>13</v>
      </c>
      <c r="AD46" s="47">
        <v>4</v>
      </c>
      <c r="AE46" s="47">
        <v>2</v>
      </c>
      <c r="AF46" s="47">
        <v>6</v>
      </c>
      <c r="AG46" s="47">
        <f t="shared" si="20"/>
        <v>12</v>
      </c>
      <c r="AH46" s="47">
        <v>4</v>
      </c>
      <c r="AI46" s="47">
        <v>12</v>
      </c>
      <c r="AJ46" s="47">
        <v>5</v>
      </c>
      <c r="AK46" s="47">
        <v>6</v>
      </c>
      <c r="AL46" s="47">
        <f t="shared" si="7"/>
        <v>11</v>
      </c>
      <c r="AM46" s="47">
        <v>61</v>
      </c>
      <c r="AN46" s="47">
        <v>55</v>
      </c>
      <c r="AO46" s="47">
        <v>38</v>
      </c>
      <c r="AP46" s="48">
        <f t="shared" si="24"/>
        <v>28.922413793103448</v>
      </c>
      <c r="AQ46" s="48">
        <f t="shared" si="22"/>
        <v>9.0775862068965516</v>
      </c>
      <c r="AR46" s="47">
        <v>1</v>
      </c>
      <c r="AS46" s="47">
        <v>21</v>
      </c>
      <c r="AT46" s="47">
        <v>9</v>
      </c>
      <c r="AU46" s="36">
        <f t="shared" si="25"/>
        <v>30</v>
      </c>
      <c r="AV46" s="47">
        <v>172</v>
      </c>
      <c r="AW46" s="47">
        <v>435</v>
      </c>
      <c r="AX46" s="47">
        <v>0</v>
      </c>
      <c r="AY46" s="47">
        <v>0</v>
      </c>
      <c r="AZ46" s="47">
        <f t="shared" si="19"/>
        <v>0</v>
      </c>
      <c r="BA46" s="47">
        <v>8</v>
      </c>
      <c r="BB46" s="47">
        <v>6</v>
      </c>
    </row>
    <row r="47" spans="1:54" customFormat="1">
      <c r="A47" s="7">
        <v>28</v>
      </c>
      <c r="B47" s="7">
        <v>1</v>
      </c>
      <c r="C47" s="34">
        <v>8</v>
      </c>
      <c r="D47" s="6">
        <v>1</v>
      </c>
      <c r="E47" s="7">
        <v>3</v>
      </c>
      <c r="F47" s="7">
        <v>2</v>
      </c>
      <c r="G47" s="7">
        <v>600000</v>
      </c>
      <c r="H47" s="7">
        <v>2</v>
      </c>
      <c r="I47" s="5">
        <v>28</v>
      </c>
      <c r="J47" s="5">
        <v>0</v>
      </c>
      <c r="K47" s="5">
        <v>0</v>
      </c>
      <c r="L47" s="72">
        <f t="shared" si="6"/>
        <v>2.8125</v>
      </c>
      <c r="M47" s="38">
        <v>45</v>
      </c>
      <c r="N47" s="18">
        <v>90</v>
      </c>
      <c r="O47" s="4">
        <v>0.88949699999999998</v>
      </c>
      <c r="P47" s="4">
        <v>52.382199</v>
      </c>
      <c r="Q47" s="4">
        <v>1.6</v>
      </c>
      <c r="R47" s="4">
        <v>12.165348</v>
      </c>
      <c r="S47" s="33">
        <v>-2.3699620000000001</v>
      </c>
      <c r="T47" s="33">
        <v>5.9748000000000002E-2</v>
      </c>
      <c r="U47" s="32">
        <v>-2.14</v>
      </c>
      <c r="V47" s="33">
        <v>-1.1667609999999999</v>
      </c>
      <c r="W47" s="47">
        <v>20</v>
      </c>
      <c r="X47" s="47">
        <v>9</v>
      </c>
      <c r="Y47" s="47">
        <v>9</v>
      </c>
      <c r="Z47" s="47">
        <v>9</v>
      </c>
      <c r="AA47" s="47">
        <v>12</v>
      </c>
      <c r="AB47" s="47">
        <v>17</v>
      </c>
      <c r="AC47" s="47">
        <v>13</v>
      </c>
      <c r="AD47" s="47">
        <v>5</v>
      </c>
      <c r="AE47" s="47">
        <v>5</v>
      </c>
      <c r="AF47" s="47">
        <v>3</v>
      </c>
      <c r="AG47" s="47">
        <f t="shared" si="20"/>
        <v>13</v>
      </c>
      <c r="AH47" s="47">
        <v>8</v>
      </c>
      <c r="AI47" s="47">
        <v>12</v>
      </c>
      <c r="AJ47" s="47">
        <v>3</v>
      </c>
      <c r="AK47" s="47">
        <v>0</v>
      </c>
      <c r="AL47" s="47">
        <f t="shared" si="7"/>
        <v>3</v>
      </c>
      <c r="AM47" s="47">
        <v>101</v>
      </c>
      <c r="AN47" s="47">
        <v>61</v>
      </c>
      <c r="AO47" s="47">
        <v>39</v>
      </c>
      <c r="AP47" s="48">
        <f t="shared" si="24"/>
        <v>38.030864197530867</v>
      </c>
      <c r="AQ47" s="48">
        <f t="shared" si="22"/>
        <v>0.96913580246913256</v>
      </c>
      <c r="AR47" s="47">
        <v>1</v>
      </c>
      <c r="AS47" s="46">
        <v>8</v>
      </c>
      <c r="AT47" s="46">
        <v>17</v>
      </c>
      <c r="AU47" s="36">
        <f t="shared" si="25"/>
        <v>25</v>
      </c>
      <c r="AV47" s="47">
        <v>63</v>
      </c>
      <c r="AW47" s="47">
        <v>129</v>
      </c>
      <c r="AX47" s="47">
        <v>9</v>
      </c>
      <c r="AY47" s="47">
        <v>7</v>
      </c>
      <c r="AZ47" s="47">
        <f t="shared" si="19"/>
        <v>16</v>
      </c>
      <c r="BA47" s="47">
        <v>3</v>
      </c>
      <c r="BB47" s="47">
        <v>0</v>
      </c>
    </row>
    <row r="48" spans="1:54" customFormat="1">
      <c r="A48" s="7">
        <v>30</v>
      </c>
      <c r="B48" s="7">
        <v>2</v>
      </c>
      <c r="C48" s="34">
        <v>3</v>
      </c>
      <c r="D48" s="6">
        <v>2</v>
      </c>
      <c r="E48" s="7">
        <v>1</v>
      </c>
      <c r="F48" s="7">
        <v>2</v>
      </c>
      <c r="G48" s="7">
        <v>150000</v>
      </c>
      <c r="H48" s="7">
        <v>2</v>
      </c>
      <c r="I48" s="5">
        <v>26</v>
      </c>
      <c r="J48" s="5">
        <v>1</v>
      </c>
      <c r="K48" s="5">
        <v>0</v>
      </c>
      <c r="L48" s="72">
        <f t="shared" si="6"/>
        <v>3</v>
      </c>
      <c r="M48" s="38">
        <v>48</v>
      </c>
      <c r="N48" s="18">
        <v>76.8125</v>
      </c>
      <c r="O48" s="4">
        <v>7.992464</v>
      </c>
      <c r="P48" s="4">
        <v>0.147284</v>
      </c>
      <c r="Q48" s="4">
        <v>0.06</v>
      </c>
      <c r="R48" s="4">
        <v>0.33030500000000002</v>
      </c>
      <c r="S48" s="33">
        <v>-1.4055789999999999</v>
      </c>
      <c r="T48" s="33">
        <v>-2.9733499999999999</v>
      </c>
      <c r="U48" s="32">
        <v>-3.26</v>
      </c>
      <c r="V48" s="33">
        <v>-2.716075</v>
      </c>
      <c r="W48" s="47">
        <v>21</v>
      </c>
      <c r="X48" s="47">
        <v>11</v>
      </c>
      <c r="Y48" s="47">
        <v>3</v>
      </c>
      <c r="Z48" s="47">
        <v>6</v>
      </c>
      <c r="AA48" s="47">
        <v>5</v>
      </c>
      <c r="AB48" s="47">
        <v>8</v>
      </c>
      <c r="AC48" s="47">
        <v>8</v>
      </c>
      <c r="AD48" s="47">
        <v>5</v>
      </c>
      <c r="AE48" s="47">
        <v>6</v>
      </c>
      <c r="AF48" s="47">
        <v>5</v>
      </c>
      <c r="AG48" s="47">
        <f t="shared" si="20"/>
        <v>16</v>
      </c>
      <c r="AH48" s="47">
        <v>10</v>
      </c>
      <c r="AI48" s="47">
        <v>12</v>
      </c>
      <c r="AJ48" s="47">
        <v>3</v>
      </c>
      <c r="AK48" s="47">
        <v>0</v>
      </c>
      <c r="AL48" s="47">
        <f t="shared" si="7"/>
        <v>3</v>
      </c>
      <c r="AM48" s="47">
        <v>76</v>
      </c>
      <c r="AN48" s="47">
        <v>66</v>
      </c>
      <c r="AO48" s="47">
        <v>29</v>
      </c>
      <c r="AP48" s="48">
        <f t="shared" si="24"/>
        <v>35.323943661971832</v>
      </c>
      <c r="AQ48" s="48">
        <f t="shared" si="22"/>
        <v>-6.3239436619718319</v>
      </c>
      <c r="AR48" s="47">
        <v>1</v>
      </c>
      <c r="AS48" s="47">
        <v>5</v>
      </c>
      <c r="AT48" s="47">
        <v>22</v>
      </c>
      <c r="AU48" s="36">
        <f t="shared" si="25"/>
        <v>27</v>
      </c>
      <c r="AV48" s="47">
        <v>83</v>
      </c>
      <c r="AW48" s="47">
        <v>235</v>
      </c>
      <c r="AX48" s="47">
        <v>5</v>
      </c>
      <c r="AY48" s="47">
        <v>7</v>
      </c>
      <c r="AZ48" s="47">
        <f t="shared" si="19"/>
        <v>12</v>
      </c>
      <c r="BA48" s="47">
        <v>18</v>
      </c>
      <c r="BB48" s="47">
        <v>0</v>
      </c>
    </row>
    <row r="49" spans="1:54" customFormat="1">
      <c r="A49" s="7">
        <v>18</v>
      </c>
      <c r="B49" s="7">
        <v>2</v>
      </c>
      <c r="C49" s="34">
        <v>12</v>
      </c>
      <c r="D49" s="6">
        <v>2</v>
      </c>
      <c r="E49" s="7">
        <v>1</v>
      </c>
      <c r="F49" s="7">
        <v>1</v>
      </c>
      <c r="G49" s="7">
        <v>500000</v>
      </c>
      <c r="H49" s="7">
        <v>1</v>
      </c>
      <c r="I49" s="5">
        <v>24</v>
      </c>
      <c r="J49" s="5">
        <v>0</v>
      </c>
      <c r="K49" s="5">
        <v>1</v>
      </c>
      <c r="L49" s="72">
        <f t="shared" si="6"/>
        <v>3.125</v>
      </c>
      <c r="M49" s="38">
        <v>50</v>
      </c>
      <c r="N49" s="18">
        <v>79.1875</v>
      </c>
      <c r="O49" s="4">
        <v>0.13333700000000001</v>
      </c>
      <c r="P49" s="4">
        <v>52.241194</v>
      </c>
      <c r="Q49" s="4">
        <v>63.99</v>
      </c>
      <c r="R49" s="4">
        <v>4.4197290000000002</v>
      </c>
      <c r="S49" s="33">
        <v>-3.0037500000000001</v>
      </c>
      <c r="T49" s="33">
        <v>5.6208000000000001E-2</v>
      </c>
      <c r="U49" s="32">
        <v>0.36</v>
      </c>
      <c r="V49" s="33">
        <v>-1.7039280000000001</v>
      </c>
      <c r="W49" s="47">
        <v>21</v>
      </c>
      <c r="X49" s="47">
        <v>14</v>
      </c>
      <c r="Y49" s="47">
        <v>10</v>
      </c>
      <c r="Z49" s="47">
        <v>9</v>
      </c>
      <c r="AA49" s="47">
        <v>10</v>
      </c>
      <c r="AB49" s="47">
        <v>14</v>
      </c>
      <c r="AC49" s="47">
        <v>15</v>
      </c>
      <c r="AD49" s="47">
        <v>4</v>
      </c>
      <c r="AE49" s="47">
        <v>4</v>
      </c>
      <c r="AF49" s="47">
        <v>5</v>
      </c>
      <c r="AG49" s="47">
        <f t="shared" si="20"/>
        <v>13</v>
      </c>
      <c r="AH49" s="47">
        <v>4</v>
      </c>
      <c r="AI49" s="47">
        <v>11</v>
      </c>
      <c r="AJ49" s="47">
        <v>0</v>
      </c>
      <c r="AK49" s="47">
        <v>0</v>
      </c>
      <c r="AL49" s="47">
        <f t="shared" si="7"/>
        <v>0</v>
      </c>
      <c r="AM49" s="47">
        <v>79</v>
      </c>
      <c r="AN49" s="47">
        <v>53</v>
      </c>
      <c r="AO49" s="47">
        <v>36</v>
      </c>
      <c r="AP49" s="48">
        <f t="shared" si="24"/>
        <v>31.719696969696969</v>
      </c>
      <c r="AQ49" s="48">
        <f t="shared" si="22"/>
        <v>4.2803030303030312</v>
      </c>
      <c r="AR49" s="47">
        <v>6</v>
      </c>
      <c r="AS49" s="47">
        <v>1</v>
      </c>
      <c r="AT49" s="47">
        <v>5</v>
      </c>
      <c r="AU49" s="36">
        <f t="shared" si="25"/>
        <v>6</v>
      </c>
      <c r="AV49" s="47">
        <v>67</v>
      </c>
      <c r="AW49" s="47">
        <v>110</v>
      </c>
      <c r="AX49" s="47">
        <v>7</v>
      </c>
      <c r="AY49" s="47">
        <v>6</v>
      </c>
      <c r="AZ49" s="47">
        <f t="shared" si="19"/>
        <v>13</v>
      </c>
      <c r="BA49" s="47">
        <v>35</v>
      </c>
      <c r="BB49" s="47">
        <v>1</v>
      </c>
    </row>
    <row r="50" spans="1:54" customFormat="1">
      <c r="A50" s="7">
        <v>41</v>
      </c>
      <c r="B50" s="7">
        <v>2</v>
      </c>
      <c r="C50" s="34">
        <v>4</v>
      </c>
      <c r="D50" s="6">
        <v>1</v>
      </c>
      <c r="E50" s="7">
        <v>1</v>
      </c>
      <c r="F50" s="7">
        <v>2</v>
      </c>
      <c r="G50" s="7">
        <v>50000</v>
      </c>
      <c r="H50" s="7">
        <v>2</v>
      </c>
      <c r="I50" s="5">
        <v>23</v>
      </c>
      <c r="J50" s="5">
        <v>1</v>
      </c>
      <c r="K50" s="5">
        <v>0</v>
      </c>
      <c r="L50" s="72">
        <f t="shared" si="6"/>
        <v>2.8125</v>
      </c>
      <c r="M50" s="38">
        <v>45</v>
      </c>
      <c r="N50" s="18">
        <v>27.1875</v>
      </c>
      <c r="O50" s="4">
        <v>0.106102</v>
      </c>
      <c r="P50" s="4">
        <v>4.1423480000000001</v>
      </c>
      <c r="Q50" s="4">
        <v>0.02</v>
      </c>
      <c r="R50" s="4">
        <v>9.0900000000000009E-3</v>
      </c>
      <c r="S50" s="33">
        <v>-3.0725980000000002</v>
      </c>
      <c r="T50" s="33">
        <v>-1.7344010000000001</v>
      </c>
      <c r="U50" s="32">
        <v>-3.54</v>
      </c>
      <c r="V50" s="33">
        <v>-3.7430629999999998</v>
      </c>
      <c r="W50" s="47">
        <v>18</v>
      </c>
      <c r="X50" s="47">
        <v>14</v>
      </c>
      <c r="Y50" s="47">
        <v>2</v>
      </c>
      <c r="Z50" s="47">
        <v>8</v>
      </c>
      <c r="AA50" s="47">
        <v>11</v>
      </c>
      <c r="AB50" s="47">
        <v>13</v>
      </c>
      <c r="AC50" s="47">
        <v>7</v>
      </c>
      <c r="AD50" s="47">
        <v>2</v>
      </c>
      <c r="AE50" s="47">
        <v>4</v>
      </c>
      <c r="AF50" s="47">
        <v>2</v>
      </c>
      <c r="AG50" s="47">
        <f t="shared" si="20"/>
        <v>8</v>
      </c>
      <c r="AH50" s="47">
        <v>4</v>
      </c>
      <c r="AI50" s="47">
        <v>6</v>
      </c>
      <c r="AJ50" s="47">
        <v>0</v>
      </c>
      <c r="AK50" s="47">
        <v>0</v>
      </c>
      <c r="AL50" s="47">
        <f t="shared" si="7"/>
        <v>0</v>
      </c>
      <c r="AM50" s="47">
        <v>76</v>
      </c>
      <c r="AN50" s="47">
        <v>58</v>
      </c>
      <c r="AO50" s="47">
        <v>25</v>
      </c>
      <c r="AP50" s="48">
        <f t="shared" si="24"/>
        <v>32.895522388059703</v>
      </c>
      <c r="AQ50" s="48">
        <f t="shared" si="22"/>
        <v>-7.8955223880597032</v>
      </c>
      <c r="AR50" s="47">
        <v>2</v>
      </c>
      <c r="AS50" s="46">
        <v>15</v>
      </c>
      <c r="AT50" s="46">
        <v>19</v>
      </c>
      <c r="AU50" s="36">
        <f t="shared" si="25"/>
        <v>34</v>
      </c>
      <c r="AV50" s="47">
        <v>153</v>
      </c>
      <c r="AW50" s="47">
        <v>264</v>
      </c>
      <c r="AX50" s="47">
        <v>5</v>
      </c>
      <c r="AY50" s="47">
        <v>7</v>
      </c>
      <c r="AZ50" s="47">
        <f t="shared" si="19"/>
        <v>12</v>
      </c>
      <c r="BA50" s="47">
        <v>20</v>
      </c>
      <c r="BB50" s="47">
        <v>0</v>
      </c>
    </row>
    <row r="51" spans="1:54" customFormat="1">
      <c r="A51" s="7">
        <v>34</v>
      </c>
      <c r="B51" s="7">
        <v>1</v>
      </c>
      <c r="C51" s="34">
        <v>11</v>
      </c>
      <c r="D51" s="6">
        <v>3</v>
      </c>
      <c r="E51" s="7">
        <v>1</v>
      </c>
      <c r="F51" s="7">
        <v>2</v>
      </c>
      <c r="G51" s="7">
        <v>120000</v>
      </c>
      <c r="H51" s="7">
        <v>1</v>
      </c>
      <c r="I51" s="5">
        <v>22</v>
      </c>
      <c r="J51" s="5">
        <v>0</v>
      </c>
      <c r="K51" s="5">
        <v>0</v>
      </c>
      <c r="L51" s="72">
        <f t="shared" si="6"/>
        <v>2.8125</v>
      </c>
      <c r="M51" s="38">
        <v>45</v>
      </c>
      <c r="N51" s="18">
        <v>89.5</v>
      </c>
      <c r="O51" s="4">
        <v>99.631056999999998</v>
      </c>
      <c r="P51" s="4">
        <v>99.991928999999999</v>
      </c>
      <c r="Q51" s="4">
        <v>55.99</v>
      </c>
      <c r="R51" s="4">
        <v>79.401964000000007</v>
      </c>
      <c r="S51" s="33">
        <v>2.6792440000000002</v>
      </c>
      <c r="T51" s="33">
        <v>3.7728030000000001</v>
      </c>
      <c r="U51" s="32">
        <v>0.15</v>
      </c>
      <c r="V51" s="33">
        <v>0.82044799999999996</v>
      </c>
      <c r="W51" s="47">
        <v>34</v>
      </c>
      <c r="X51" s="47">
        <v>32</v>
      </c>
      <c r="Y51" s="47">
        <v>15</v>
      </c>
      <c r="Z51" s="47">
        <v>18</v>
      </c>
      <c r="AA51" s="47">
        <v>16</v>
      </c>
      <c r="AB51" s="47">
        <v>20</v>
      </c>
      <c r="AC51" s="47">
        <v>23</v>
      </c>
      <c r="AD51" s="47">
        <v>6</v>
      </c>
      <c r="AE51" s="47">
        <v>8</v>
      </c>
      <c r="AF51" s="47">
        <v>10</v>
      </c>
      <c r="AG51" s="47">
        <f t="shared" si="20"/>
        <v>24</v>
      </c>
      <c r="AH51" s="47">
        <v>12</v>
      </c>
      <c r="AI51" s="47">
        <v>12</v>
      </c>
      <c r="AJ51" s="47">
        <v>0</v>
      </c>
      <c r="AK51" s="47">
        <v>0</v>
      </c>
      <c r="AL51" s="47">
        <f t="shared" si="7"/>
        <v>0</v>
      </c>
      <c r="AM51" s="47">
        <v>100</v>
      </c>
      <c r="AN51" s="47">
        <v>60</v>
      </c>
      <c r="AO51" s="47">
        <v>30</v>
      </c>
      <c r="AP51" s="48">
        <f t="shared" si="24"/>
        <v>37.5</v>
      </c>
      <c r="AQ51" s="48">
        <f t="shared" si="22"/>
        <v>-7.5</v>
      </c>
      <c r="AR51" s="47">
        <v>6</v>
      </c>
      <c r="AS51" s="46">
        <v>2</v>
      </c>
      <c r="AT51" s="46">
        <v>5</v>
      </c>
      <c r="AU51" s="36">
        <f t="shared" si="25"/>
        <v>7</v>
      </c>
      <c r="AV51" s="47">
        <v>44</v>
      </c>
      <c r="AW51" s="47">
        <v>116</v>
      </c>
      <c r="AX51" s="47">
        <v>9</v>
      </c>
      <c r="AY51" s="47">
        <v>9</v>
      </c>
      <c r="AZ51" s="47">
        <f t="shared" si="19"/>
        <v>18</v>
      </c>
      <c r="BA51" s="47">
        <v>30</v>
      </c>
      <c r="BB51" s="47">
        <v>0</v>
      </c>
    </row>
    <row r="52" spans="1:54" customFormat="1">
      <c r="A52" s="7">
        <v>28</v>
      </c>
      <c r="B52" s="7">
        <v>1</v>
      </c>
      <c r="C52" s="34">
        <v>11</v>
      </c>
      <c r="D52" s="6">
        <v>1</v>
      </c>
      <c r="E52" s="7">
        <v>1</v>
      </c>
      <c r="F52" s="7">
        <v>2</v>
      </c>
      <c r="G52" s="7">
        <v>180000</v>
      </c>
      <c r="H52" s="7">
        <v>1</v>
      </c>
      <c r="I52" s="5">
        <v>25</v>
      </c>
      <c r="J52" s="5">
        <v>0</v>
      </c>
      <c r="K52" s="5">
        <v>0</v>
      </c>
      <c r="L52" s="72">
        <f t="shared" si="6"/>
        <v>3.125</v>
      </c>
      <c r="M52" s="38">
        <v>50</v>
      </c>
      <c r="N52" s="18">
        <v>87.625</v>
      </c>
      <c r="O52" s="4">
        <v>63.223312</v>
      </c>
      <c r="P52" s="4">
        <v>98.524956000000003</v>
      </c>
      <c r="Q52" s="4">
        <v>94.64</v>
      </c>
      <c r="R52" s="4">
        <v>3.4634909999999999</v>
      </c>
      <c r="S52" s="33">
        <v>0.33777400000000002</v>
      </c>
      <c r="T52" s="33">
        <v>2.1767280000000002</v>
      </c>
      <c r="U52" s="32">
        <v>1.61</v>
      </c>
      <c r="V52" s="33">
        <v>-1.816656</v>
      </c>
      <c r="W52" s="47">
        <v>35</v>
      </c>
      <c r="X52" s="47">
        <v>29</v>
      </c>
      <c r="Y52" s="47">
        <v>12</v>
      </c>
      <c r="Z52" s="47">
        <v>17</v>
      </c>
      <c r="AA52" s="47">
        <v>18</v>
      </c>
      <c r="AB52" s="47">
        <v>18</v>
      </c>
      <c r="AC52" s="47">
        <v>15</v>
      </c>
      <c r="AD52" s="47">
        <v>4</v>
      </c>
      <c r="AE52" s="47">
        <v>4</v>
      </c>
      <c r="AF52" s="47">
        <v>5</v>
      </c>
      <c r="AG52" s="47">
        <f t="shared" si="20"/>
        <v>13</v>
      </c>
      <c r="AH52" s="47">
        <v>8</v>
      </c>
      <c r="AI52" s="47">
        <v>10</v>
      </c>
      <c r="AJ52" s="47">
        <v>2</v>
      </c>
      <c r="AK52" s="47">
        <v>1</v>
      </c>
      <c r="AL52" s="47">
        <f t="shared" si="7"/>
        <v>3</v>
      </c>
      <c r="AM52" s="47">
        <v>79</v>
      </c>
      <c r="AN52" s="47">
        <v>60</v>
      </c>
      <c r="AO52" s="47">
        <v>55</v>
      </c>
      <c r="AP52" s="48">
        <f t="shared" si="24"/>
        <v>34.100719424460429</v>
      </c>
      <c r="AQ52" s="48">
        <f t="shared" si="22"/>
        <v>20.899280575539571</v>
      </c>
      <c r="AR52" s="47">
        <v>5</v>
      </c>
      <c r="AS52" s="46">
        <v>5</v>
      </c>
      <c r="AT52" s="46">
        <v>8</v>
      </c>
      <c r="AU52" s="36">
        <f t="shared" si="25"/>
        <v>13</v>
      </c>
      <c r="AV52" s="47">
        <v>75</v>
      </c>
      <c r="AW52" s="47">
        <v>154</v>
      </c>
      <c r="AX52" s="47">
        <v>8</v>
      </c>
      <c r="AY52" s="47">
        <v>7</v>
      </c>
      <c r="AZ52" s="47">
        <f t="shared" si="19"/>
        <v>15</v>
      </c>
      <c r="BA52" s="47">
        <v>25</v>
      </c>
      <c r="BB52" s="47">
        <v>1</v>
      </c>
    </row>
    <row r="53" spans="1:54" customFormat="1">
      <c r="A53" s="7">
        <v>23</v>
      </c>
      <c r="B53" s="7">
        <v>2</v>
      </c>
      <c r="C53" s="34">
        <v>11</v>
      </c>
      <c r="D53" s="6">
        <v>1</v>
      </c>
      <c r="E53" s="7">
        <v>1</v>
      </c>
      <c r="F53" s="7">
        <v>1</v>
      </c>
      <c r="G53" s="7">
        <v>300000</v>
      </c>
      <c r="H53" s="7">
        <v>1</v>
      </c>
      <c r="I53" s="5">
        <v>24</v>
      </c>
      <c r="J53" s="5">
        <v>0</v>
      </c>
      <c r="K53" s="5">
        <v>0</v>
      </c>
      <c r="L53" s="72">
        <f t="shared" si="6"/>
        <v>2.625</v>
      </c>
      <c r="M53" s="38">
        <v>42</v>
      </c>
      <c r="N53" s="18">
        <v>98.125</v>
      </c>
      <c r="O53" s="4">
        <v>76.355760000000004</v>
      </c>
      <c r="P53" s="4">
        <v>14.888731</v>
      </c>
      <c r="Q53" s="4">
        <v>5.68</v>
      </c>
      <c r="R53" s="4">
        <v>0.152284</v>
      </c>
      <c r="S53" s="33">
        <v>0.71779300000000001</v>
      </c>
      <c r="T53" s="33">
        <v>-1.0412170000000001</v>
      </c>
      <c r="U53" s="32">
        <v>-1.58</v>
      </c>
      <c r="V53" s="33">
        <v>-2.9630890000000001</v>
      </c>
      <c r="W53" s="47">
        <v>36</v>
      </c>
      <c r="X53" s="47">
        <v>30</v>
      </c>
      <c r="Y53" s="47">
        <v>8</v>
      </c>
      <c r="Z53" s="47">
        <v>6</v>
      </c>
      <c r="AA53" s="47">
        <v>8</v>
      </c>
      <c r="AB53" s="47">
        <v>14</v>
      </c>
      <c r="AC53" s="47">
        <v>12</v>
      </c>
      <c r="AD53" s="47">
        <v>4</v>
      </c>
      <c r="AE53" s="47">
        <v>6</v>
      </c>
      <c r="AF53" s="47">
        <v>7</v>
      </c>
      <c r="AG53" s="47">
        <f t="shared" si="20"/>
        <v>17</v>
      </c>
      <c r="AH53" s="47">
        <v>7</v>
      </c>
      <c r="AI53" s="47">
        <v>11</v>
      </c>
      <c r="AJ53" s="47">
        <v>0</v>
      </c>
      <c r="AK53" s="47">
        <v>0</v>
      </c>
      <c r="AL53" s="47">
        <f t="shared" si="7"/>
        <v>0</v>
      </c>
      <c r="AM53" s="47">
        <v>65</v>
      </c>
      <c r="AN53" s="47">
        <v>48</v>
      </c>
      <c r="AO53" s="47">
        <v>26</v>
      </c>
      <c r="AP53" s="48">
        <f t="shared" si="24"/>
        <v>27.610619469026549</v>
      </c>
      <c r="AQ53" s="48">
        <f t="shared" si="22"/>
        <v>-1.610619469026549</v>
      </c>
      <c r="AR53" s="47">
        <v>3</v>
      </c>
      <c r="AS53" s="46">
        <v>5</v>
      </c>
      <c r="AT53" s="46">
        <v>9</v>
      </c>
      <c r="AU53" s="36">
        <f t="shared" si="25"/>
        <v>14</v>
      </c>
      <c r="AV53" s="47">
        <v>60</v>
      </c>
      <c r="AW53" s="47">
        <v>180</v>
      </c>
      <c r="AX53" s="47">
        <v>7</v>
      </c>
      <c r="AY53" s="47">
        <v>8</v>
      </c>
      <c r="AZ53" s="47">
        <f t="shared" si="19"/>
        <v>15</v>
      </c>
      <c r="BA53" s="47">
        <v>21</v>
      </c>
      <c r="BB53" s="47">
        <v>2</v>
      </c>
    </row>
    <row r="54" spans="1:54" customFormat="1">
      <c r="A54" s="7">
        <v>26</v>
      </c>
      <c r="B54" s="7">
        <v>2</v>
      </c>
      <c r="C54" s="34">
        <v>11</v>
      </c>
      <c r="D54" s="6">
        <v>1</v>
      </c>
      <c r="E54" s="7">
        <v>1</v>
      </c>
      <c r="F54" s="7">
        <v>2</v>
      </c>
      <c r="G54" s="7">
        <v>200000</v>
      </c>
      <c r="H54" s="7">
        <v>1</v>
      </c>
      <c r="I54" s="5">
        <v>28</v>
      </c>
      <c r="J54" s="5">
        <v>0</v>
      </c>
      <c r="K54" s="5">
        <v>0</v>
      </c>
      <c r="L54" s="72">
        <f t="shared" si="6"/>
        <v>2</v>
      </c>
      <c r="M54" s="38">
        <v>32</v>
      </c>
      <c r="N54" s="18">
        <v>87.625</v>
      </c>
      <c r="O54" s="4">
        <v>93.682976999999994</v>
      </c>
      <c r="P54" s="4">
        <v>99.148021</v>
      </c>
      <c r="Q54" s="4">
        <v>44.49</v>
      </c>
      <c r="R54" s="4">
        <v>24.157689000000001</v>
      </c>
      <c r="S54" s="33">
        <v>1.5286930000000001</v>
      </c>
      <c r="T54" s="33">
        <v>2.3858519999999999</v>
      </c>
      <c r="U54" s="32">
        <v>-0.14000000000000001</v>
      </c>
      <c r="V54" s="33">
        <v>-0.70123899999999995</v>
      </c>
      <c r="W54" s="47">
        <v>32</v>
      </c>
      <c r="X54" s="47">
        <v>28</v>
      </c>
      <c r="Y54" s="47">
        <v>15</v>
      </c>
      <c r="Z54" s="47">
        <v>14</v>
      </c>
      <c r="AA54" s="47">
        <v>10</v>
      </c>
      <c r="AB54" s="47">
        <v>19</v>
      </c>
      <c r="AC54" s="47">
        <v>20</v>
      </c>
      <c r="AD54" s="47">
        <v>6</v>
      </c>
      <c r="AE54" s="47">
        <v>8</v>
      </c>
      <c r="AF54" s="47">
        <v>9</v>
      </c>
      <c r="AG54" s="47">
        <f t="shared" si="20"/>
        <v>23</v>
      </c>
      <c r="AH54" s="47">
        <v>10</v>
      </c>
      <c r="AI54" s="47">
        <v>12</v>
      </c>
      <c r="AJ54" s="47">
        <v>0</v>
      </c>
      <c r="AK54" s="47">
        <v>0</v>
      </c>
      <c r="AL54" s="47">
        <f t="shared" si="7"/>
        <v>0</v>
      </c>
      <c r="AM54" s="47">
        <v>88</v>
      </c>
      <c r="AN54" s="47">
        <v>55</v>
      </c>
      <c r="AO54" s="47">
        <v>30</v>
      </c>
      <c r="AP54" s="48">
        <f t="shared" si="24"/>
        <v>33.846153846153847</v>
      </c>
      <c r="AQ54" s="48">
        <f t="shared" si="22"/>
        <v>-3.8461538461538467</v>
      </c>
      <c r="AR54" s="47">
        <v>5</v>
      </c>
      <c r="AS54" s="46">
        <v>2</v>
      </c>
      <c r="AT54" s="46">
        <v>3</v>
      </c>
      <c r="AU54" s="36">
        <f t="shared" si="25"/>
        <v>5</v>
      </c>
      <c r="AV54" s="47">
        <v>68</v>
      </c>
      <c r="AW54" s="47">
        <v>142</v>
      </c>
      <c r="AX54" s="47">
        <v>9</v>
      </c>
      <c r="AY54" s="47">
        <v>10</v>
      </c>
      <c r="AZ54" s="47">
        <f t="shared" si="19"/>
        <v>19</v>
      </c>
      <c r="BA54" s="47">
        <v>32</v>
      </c>
      <c r="BB54" s="47">
        <v>0</v>
      </c>
    </row>
    <row r="55" spans="1:54" customFormat="1">
      <c r="A55" s="7">
        <v>42</v>
      </c>
      <c r="B55" s="7">
        <v>2</v>
      </c>
      <c r="C55" s="34">
        <v>4</v>
      </c>
      <c r="D55" s="6">
        <v>1</v>
      </c>
      <c r="E55" s="7">
        <v>1</v>
      </c>
      <c r="F55" s="7">
        <v>2</v>
      </c>
      <c r="G55" s="7">
        <v>200000</v>
      </c>
      <c r="H55" s="7">
        <v>1</v>
      </c>
      <c r="I55" s="5">
        <v>26</v>
      </c>
      <c r="J55" s="5">
        <v>1</v>
      </c>
      <c r="K55" s="5">
        <v>0</v>
      </c>
      <c r="L55" s="72">
        <f t="shared" si="6"/>
        <v>1.4375</v>
      </c>
      <c r="M55" s="38">
        <v>23</v>
      </c>
      <c r="N55" s="18">
        <v>69.875</v>
      </c>
      <c r="O55" s="4">
        <v>21.913188000000002</v>
      </c>
      <c r="P55" s="4">
        <v>15.319331999999999</v>
      </c>
      <c r="Q55" s="4">
        <v>1.5</v>
      </c>
      <c r="R55" s="4">
        <v>6.3004000000000004E-2</v>
      </c>
      <c r="S55" s="33">
        <v>-0.77512800000000004</v>
      </c>
      <c r="T55" s="33">
        <v>-1.0228330000000001</v>
      </c>
      <c r="U55" s="32">
        <v>-2.17</v>
      </c>
      <c r="V55" s="33">
        <v>-3.22492</v>
      </c>
      <c r="W55" s="47">
        <v>26</v>
      </c>
      <c r="X55" s="47">
        <v>16</v>
      </c>
      <c r="Y55" s="47">
        <v>7</v>
      </c>
      <c r="Z55" s="47">
        <v>8</v>
      </c>
      <c r="AA55" s="47">
        <v>8</v>
      </c>
      <c r="AB55" s="47">
        <v>12</v>
      </c>
      <c r="AC55" s="47">
        <v>11</v>
      </c>
      <c r="AD55" s="47">
        <v>4</v>
      </c>
      <c r="AE55" s="47">
        <v>5</v>
      </c>
      <c r="AF55" s="47">
        <v>6</v>
      </c>
      <c r="AG55" s="47">
        <f t="shared" si="20"/>
        <v>15</v>
      </c>
      <c r="AH55" s="47">
        <v>7</v>
      </c>
      <c r="AI55" s="47">
        <v>11</v>
      </c>
      <c r="AJ55" s="47">
        <v>2</v>
      </c>
      <c r="AK55" s="47">
        <v>0</v>
      </c>
      <c r="AL55" s="47">
        <f t="shared" si="7"/>
        <v>2</v>
      </c>
      <c r="AM55" s="47">
        <v>67</v>
      </c>
      <c r="AN55" s="47">
        <v>50</v>
      </c>
      <c r="AO55" s="47">
        <v>28</v>
      </c>
      <c r="AP55" s="48">
        <f t="shared" si="24"/>
        <v>28.632478632478634</v>
      </c>
      <c r="AQ55" s="48">
        <f t="shared" si="22"/>
        <v>-0.63247863247863378</v>
      </c>
      <c r="AR55" s="47">
        <v>2</v>
      </c>
      <c r="AS55" s="46">
        <v>10</v>
      </c>
      <c r="AT55" s="46">
        <v>15</v>
      </c>
      <c r="AU55" s="36">
        <f t="shared" si="25"/>
        <v>25</v>
      </c>
      <c r="AV55" s="47">
        <v>90</v>
      </c>
      <c r="AW55" s="47">
        <v>270</v>
      </c>
      <c r="AX55" s="47">
        <v>5</v>
      </c>
      <c r="AY55" s="47">
        <v>5</v>
      </c>
      <c r="AZ55" s="47">
        <f t="shared" si="19"/>
        <v>10</v>
      </c>
      <c r="BA55" s="47">
        <v>21</v>
      </c>
      <c r="BB55" s="47">
        <v>2</v>
      </c>
    </row>
    <row r="56" spans="1:54" customFormat="1">
      <c r="A56" s="7">
        <v>21</v>
      </c>
      <c r="B56" s="7">
        <v>1</v>
      </c>
      <c r="C56" s="34">
        <v>11</v>
      </c>
      <c r="D56" s="6">
        <v>1</v>
      </c>
      <c r="E56" s="7">
        <v>1</v>
      </c>
      <c r="F56" s="7">
        <v>1</v>
      </c>
      <c r="G56" s="7">
        <v>150000</v>
      </c>
      <c r="H56" s="7">
        <v>1</v>
      </c>
      <c r="I56" s="5">
        <v>20</v>
      </c>
      <c r="J56" s="5">
        <v>0</v>
      </c>
      <c r="K56" s="5">
        <v>0</v>
      </c>
      <c r="L56" s="72">
        <f t="shared" si="6"/>
        <v>2.9375</v>
      </c>
      <c r="M56" s="38">
        <v>47</v>
      </c>
      <c r="N56" s="18">
        <v>94.875</v>
      </c>
      <c r="O56" s="4">
        <v>77.476354000000001</v>
      </c>
      <c r="P56" s="4">
        <v>99.850382999999994</v>
      </c>
      <c r="Q56" s="4">
        <v>78.540000000000006</v>
      </c>
      <c r="R56" s="4">
        <v>51.073687</v>
      </c>
      <c r="S56" s="33">
        <v>0.75462700000000005</v>
      </c>
      <c r="T56" s="33">
        <v>2.9685229999999998</v>
      </c>
      <c r="U56" s="32">
        <v>0.79</v>
      </c>
      <c r="V56" s="33">
        <v>2.6917E-2</v>
      </c>
      <c r="W56" s="47">
        <v>32</v>
      </c>
      <c r="X56" s="47">
        <v>28</v>
      </c>
      <c r="Y56" s="47">
        <v>17</v>
      </c>
      <c r="Z56" s="47">
        <v>15</v>
      </c>
      <c r="AA56" s="47">
        <v>15</v>
      </c>
      <c r="AB56" s="47">
        <v>18</v>
      </c>
      <c r="AC56" s="47">
        <v>21</v>
      </c>
      <c r="AD56" s="47">
        <v>5</v>
      </c>
      <c r="AE56" s="47">
        <v>5</v>
      </c>
      <c r="AF56" s="47">
        <v>8</v>
      </c>
      <c r="AG56" s="47">
        <f t="shared" si="20"/>
        <v>18</v>
      </c>
      <c r="AH56" s="47">
        <v>9</v>
      </c>
      <c r="AI56" s="47">
        <v>12</v>
      </c>
      <c r="AJ56" s="47">
        <v>0</v>
      </c>
      <c r="AK56" s="47">
        <v>0</v>
      </c>
      <c r="AL56" s="47">
        <f t="shared" si="7"/>
        <v>0</v>
      </c>
      <c r="AM56" s="47">
        <v>85</v>
      </c>
      <c r="AN56" s="47">
        <v>63</v>
      </c>
      <c r="AO56" s="47">
        <v>40</v>
      </c>
      <c r="AP56" s="48">
        <f t="shared" si="24"/>
        <v>36.182432432432435</v>
      </c>
      <c r="AQ56" s="48">
        <f t="shared" si="22"/>
        <v>3.8175675675675649</v>
      </c>
      <c r="AR56" s="47">
        <v>6</v>
      </c>
      <c r="AS56" s="46">
        <v>1</v>
      </c>
      <c r="AT56" s="46">
        <v>2</v>
      </c>
      <c r="AU56" s="36">
        <f t="shared" si="25"/>
        <v>3</v>
      </c>
      <c r="AV56" s="47">
        <v>45</v>
      </c>
      <c r="AW56" s="47">
        <v>115</v>
      </c>
      <c r="AX56" s="47">
        <v>10</v>
      </c>
      <c r="AY56" s="47">
        <v>9</v>
      </c>
      <c r="AZ56" s="47">
        <f t="shared" si="19"/>
        <v>19</v>
      </c>
      <c r="BA56" s="47">
        <v>33</v>
      </c>
      <c r="BB56" s="47">
        <v>0</v>
      </c>
    </row>
    <row r="57" spans="1:54" customFormat="1">
      <c r="A57" s="7">
        <v>18</v>
      </c>
      <c r="B57" s="7">
        <v>1</v>
      </c>
      <c r="C57" s="34">
        <v>11</v>
      </c>
      <c r="D57" s="6">
        <v>3</v>
      </c>
      <c r="E57" s="7">
        <v>1</v>
      </c>
      <c r="F57" s="7">
        <v>1</v>
      </c>
      <c r="G57" s="7">
        <v>250000</v>
      </c>
      <c r="H57" s="7">
        <v>2</v>
      </c>
      <c r="I57" s="5">
        <v>21</v>
      </c>
      <c r="J57" s="5">
        <v>0</v>
      </c>
      <c r="K57" s="5">
        <v>0</v>
      </c>
      <c r="L57" s="72">
        <f t="shared" si="6"/>
        <v>2.875</v>
      </c>
      <c r="M57" s="38">
        <v>46</v>
      </c>
      <c r="N57" s="18">
        <v>95.5</v>
      </c>
      <c r="O57" s="4">
        <v>95.012315000000001</v>
      </c>
      <c r="P57" s="4">
        <v>99.965877000000006</v>
      </c>
      <c r="Q57" s="4">
        <v>53.74</v>
      </c>
      <c r="R57" s="4">
        <v>55.747328000000003</v>
      </c>
      <c r="S57" s="33">
        <v>1.6460490000000001</v>
      </c>
      <c r="T57" s="33">
        <v>3.3965299999999998</v>
      </c>
      <c r="U57" s="32">
        <v>0.09</v>
      </c>
      <c r="V57" s="33">
        <v>0.144566</v>
      </c>
      <c r="W57" s="47">
        <v>35</v>
      </c>
      <c r="X57" s="47">
        <v>30</v>
      </c>
      <c r="Y57" s="47">
        <v>18</v>
      </c>
      <c r="Z57" s="47">
        <v>14</v>
      </c>
      <c r="AA57" s="47">
        <v>16</v>
      </c>
      <c r="AB57" s="47">
        <v>20</v>
      </c>
      <c r="AC57" s="47">
        <v>22</v>
      </c>
      <c r="AD57" s="47">
        <v>6</v>
      </c>
      <c r="AE57" s="47">
        <v>6</v>
      </c>
      <c r="AF57" s="47">
        <v>7</v>
      </c>
      <c r="AG57" s="47">
        <f t="shared" si="20"/>
        <v>19</v>
      </c>
      <c r="AH57" s="47">
        <v>11</v>
      </c>
      <c r="AI57" s="47">
        <v>12</v>
      </c>
      <c r="AJ57" s="47">
        <v>1</v>
      </c>
      <c r="AK57" s="47">
        <v>0</v>
      </c>
      <c r="AL57" s="47">
        <f t="shared" si="7"/>
        <v>1</v>
      </c>
      <c r="AM57" s="47">
        <v>98</v>
      </c>
      <c r="AN57" s="47">
        <v>80</v>
      </c>
      <c r="AO57" s="47">
        <v>45</v>
      </c>
      <c r="AP57" s="48">
        <f t="shared" si="24"/>
        <v>44.044943820224717</v>
      </c>
      <c r="AQ57" s="48">
        <f t="shared" si="22"/>
        <v>0.95505617977528345</v>
      </c>
      <c r="AR57" s="47">
        <v>5</v>
      </c>
      <c r="AS57" s="46">
        <v>4</v>
      </c>
      <c r="AT57" s="46">
        <v>8</v>
      </c>
      <c r="AU57" s="36">
        <f t="shared" si="25"/>
        <v>12</v>
      </c>
      <c r="AV57" s="47">
        <v>52</v>
      </c>
      <c r="AW57" s="47">
        <v>96</v>
      </c>
      <c r="AX57" s="47">
        <v>8</v>
      </c>
      <c r="AY57" s="47">
        <v>8</v>
      </c>
      <c r="AZ57" s="47">
        <f t="shared" si="19"/>
        <v>16</v>
      </c>
      <c r="BA57" s="47">
        <v>24</v>
      </c>
      <c r="BB57" s="47">
        <v>1</v>
      </c>
    </row>
    <row r="58" spans="1:54" customFormat="1">
      <c r="A58" s="7">
        <v>21</v>
      </c>
      <c r="B58" s="7">
        <v>1</v>
      </c>
      <c r="C58" s="34">
        <v>8</v>
      </c>
      <c r="D58" s="6">
        <v>3</v>
      </c>
      <c r="E58" s="7">
        <v>2</v>
      </c>
      <c r="F58" s="7">
        <v>2</v>
      </c>
      <c r="G58" s="7">
        <v>300000</v>
      </c>
      <c r="H58" s="7">
        <v>1</v>
      </c>
      <c r="I58" s="5">
        <v>25</v>
      </c>
      <c r="J58" s="5">
        <v>0</v>
      </c>
      <c r="K58" s="5">
        <v>0</v>
      </c>
      <c r="L58" s="72">
        <f t="shared" si="6"/>
        <v>3.0625</v>
      </c>
      <c r="M58" s="38">
        <v>49</v>
      </c>
      <c r="N58" s="18">
        <v>96.75</v>
      </c>
      <c r="O58" s="4">
        <v>40.646411000000001</v>
      </c>
      <c r="P58" s="4">
        <v>99.998343000000006</v>
      </c>
      <c r="Q58" s="4">
        <v>7.19</v>
      </c>
      <c r="R58" s="4">
        <v>3.2530410000000001</v>
      </c>
      <c r="S58" s="33">
        <v>-0.23665</v>
      </c>
      <c r="T58" s="33">
        <v>4.1506869999999996</v>
      </c>
      <c r="U58" s="32">
        <v>-1.46</v>
      </c>
      <c r="V58" s="33">
        <v>-1.84484</v>
      </c>
      <c r="W58" s="47">
        <v>33</v>
      </c>
      <c r="X58" s="47">
        <v>22</v>
      </c>
      <c r="Y58" s="47">
        <v>19</v>
      </c>
      <c r="Z58" s="47">
        <v>17</v>
      </c>
      <c r="AA58" s="47">
        <v>21</v>
      </c>
      <c r="AB58" s="47">
        <v>21</v>
      </c>
      <c r="AC58" s="47">
        <v>20</v>
      </c>
      <c r="AD58" s="47">
        <v>4</v>
      </c>
      <c r="AE58" s="47">
        <v>5</v>
      </c>
      <c r="AF58" s="47">
        <v>6</v>
      </c>
      <c r="AG58" s="47">
        <f t="shared" si="20"/>
        <v>15</v>
      </c>
      <c r="AH58" s="47">
        <v>8</v>
      </c>
      <c r="AI58" s="47">
        <v>10</v>
      </c>
      <c r="AJ58" s="47">
        <v>2</v>
      </c>
      <c r="AK58" s="47">
        <v>0</v>
      </c>
      <c r="AL58" s="47">
        <f t="shared" si="7"/>
        <v>2</v>
      </c>
      <c r="AM58" s="47">
        <v>98</v>
      </c>
      <c r="AN58" s="47">
        <v>70</v>
      </c>
      <c r="AO58" s="47">
        <v>36</v>
      </c>
      <c r="AP58" s="48">
        <f t="shared" si="24"/>
        <v>40.833333333333336</v>
      </c>
      <c r="AQ58" s="48">
        <f t="shared" si="22"/>
        <v>-4.8333333333333357</v>
      </c>
      <c r="AR58" s="47">
        <v>4</v>
      </c>
      <c r="AS58" s="46">
        <v>10</v>
      </c>
      <c r="AT58" s="46">
        <v>15</v>
      </c>
      <c r="AU58" s="36">
        <f t="shared" si="25"/>
        <v>25</v>
      </c>
      <c r="AV58" s="47">
        <v>88</v>
      </c>
      <c r="AW58" s="47">
        <v>160</v>
      </c>
      <c r="AX58" s="47">
        <v>5</v>
      </c>
      <c r="AY58" s="47">
        <v>9</v>
      </c>
      <c r="AZ58" s="47">
        <f t="shared" si="19"/>
        <v>14</v>
      </c>
      <c r="BA58" s="47">
        <v>22</v>
      </c>
      <c r="BB58" s="47">
        <v>0</v>
      </c>
    </row>
    <row r="59" spans="1:54" customFormat="1">
      <c r="A59" s="7">
        <v>21</v>
      </c>
      <c r="B59" s="7">
        <v>2</v>
      </c>
      <c r="C59" s="34">
        <v>8</v>
      </c>
      <c r="D59" s="6">
        <v>2</v>
      </c>
      <c r="E59" s="7">
        <v>1</v>
      </c>
      <c r="F59" s="7">
        <v>2</v>
      </c>
      <c r="G59" s="7">
        <v>100000</v>
      </c>
      <c r="H59" s="7">
        <v>1</v>
      </c>
      <c r="I59" s="5">
        <v>23</v>
      </c>
      <c r="J59" s="5">
        <v>0</v>
      </c>
      <c r="K59" s="5">
        <v>0</v>
      </c>
      <c r="L59" s="72">
        <f t="shared" si="6"/>
        <v>2.6875</v>
      </c>
      <c r="M59" s="38">
        <v>43</v>
      </c>
      <c r="N59" s="18">
        <v>96.125</v>
      </c>
      <c r="O59" s="4">
        <v>94.838802999999999</v>
      </c>
      <c r="P59" s="4">
        <v>69.245413999999997</v>
      </c>
      <c r="Q59" s="4">
        <v>41.78</v>
      </c>
      <c r="R59" s="4">
        <v>4.998335</v>
      </c>
      <c r="S59" s="33">
        <v>1.629421</v>
      </c>
      <c r="T59" s="33">
        <v>0.50281900000000002</v>
      </c>
      <c r="U59" s="32">
        <v>-0.21</v>
      </c>
      <c r="V59" s="33">
        <v>-1.6450149999999999</v>
      </c>
      <c r="W59" s="47">
        <v>36</v>
      </c>
      <c r="X59" s="47">
        <v>27</v>
      </c>
      <c r="Y59" s="47">
        <v>12</v>
      </c>
      <c r="Z59" s="47">
        <v>7</v>
      </c>
      <c r="AA59" s="47">
        <v>10</v>
      </c>
      <c r="AB59" s="47">
        <v>18</v>
      </c>
      <c r="AC59" s="47">
        <v>15</v>
      </c>
      <c r="AD59" s="47">
        <v>8</v>
      </c>
      <c r="AE59" s="47">
        <v>7</v>
      </c>
      <c r="AF59" s="47">
        <v>9</v>
      </c>
      <c r="AG59" s="47">
        <f>SUM(AD59:AF59)</f>
        <v>24</v>
      </c>
      <c r="AH59" s="47">
        <v>9</v>
      </c>
      <c r="AI59" s="47">
        <v>11</v>
      </c>
      <c r="AJ59" s="47">
        <v>3</v>
      </c>
      <c r="AK59" s="47">
        <v>0</v>
      </c>
      <c r="AL59" s="47">
        <f>SUM(AJ59:AK59)</f>
        <v>3</v>
      </c>
      <c r="AM59" s="47">
        <v>79</v>
      </c>
      <c r="AN59" s="47">
        <v>54</v>
      </c>
      <c r="AO59" s="47">
        <v>35</v>
      </c>
      <c r="AP59" s="48">
        <f>(AM59*AN59)/(AM59+AN59)</f>
        <v>32.075187969924812</v>
      </c>
      <c r="AQ59" s="48">
        <f>AO59-AP59</f>
        <v>2.9248120300751879</v>
      </c>
      <c r="AR59" s="47">
        <v>5</v>
      </c>
      <c r="AS59" s="47">
        <v>3</v>
      </c>
      <c r="AT59" s="47">
        <v>9</v>
      </c>
      <c r="AU59" s="36">
        <f>SUM(AS59:AT59)</f>
        <v>12</v>
      </c>
      <c r="AV59" s="36">
        <v>28</v>
      </c>
      <c r="AW59" s="36">
        <v>195</v>
      </c>
      <c r="AX59" s="47">
        <v>5</v>
      </c>
      <c r="AY59" s="47">
        <v>8</v>
      </c>
      <c r="AZ59" s="47">
        <f>SUM(AX59:AY59)</f>
        <v>13</v>
      </c>
      <c r="BA59" s="47">
        <v>33</v>
      </c>
      <c r="BB59" s="36">
        <v>0</v>
      </c>
    </row>
    <row r="60" spans="1:54" customFormat="1">
      <c r="A60" s="7">
        <v>19</v>
      </c>
      <c r="B60" s="7">
        <v>1</v>
      </c>
      <c r="C60" s="34">
        <v>6</v>
      </c>
      <c r="D60" s="6">
        <v>1</v>
      </c>
      <c r="E60" s="7">
        <v>1</v>
      </c>
      <c r="F60" s="7">
        <v>2</v>
      </c>
      <c r="G60" s="7">
        <v>100000</v>
      </c>
      <c r="H60" s="7">
        <v>1</v>
      </c>
      <c r="I60" s="5">
        <v>19</v>
      </c>
      <c r="J60" s="5">
        <v>0</v>
      </c>
      <c r="K60" s="5">
        <v>0</v>
      </c>
      <c r="L60" s="72">
        <f t="shared" si="6"/>
        <v>2.6875</v>
      </c>
      <c r="M60" s="38">
        <v>43</v>
      </c>
      <c r="N60" s="18">
        <v>77.8125</v>
      </c>
      <c r="O60" s="4">
        <v>3.7109100000000002</v>
      </c>
      <c r="P60" s="4">
        <v>55.187137999999997</v>
      </c>
      <c r="Q60" s="4">
        <v>0</v>
      </c>
      <c r="R60" s="4">
        <v>6.8099999999999996E-4</v>
      </c>
      <c r="S60" s="33">
        <v>-1.785266</v>
      </c>
      <c r="T60" s="33">
        <v>0.13039100000000001</v>
      </c>
      <c r="U60" s="32">
        <v>-3.95</v>
      </c>
      <c r="V60" s="33">
        <v>-4.3498409999999996</v>
      </c>
      <c r="W60" s="47">
        <v>33</v>
      </c>
      <c r="X60" s="47">
        <v>8</v>
      </c>
      <c r="Y60" s="47">
        <v>6</v>
      </c>
      <c r="Z60" s="47">
        <v>15</v>
      </c>
      <c r="AA60" s="47">
        <v>11</v>
      </c>
      <c r="AB60" s="47">
        <v>15</v>
      </c>
      <c r="AC60" s="47">
        <v>14</v>
      </c>
      <c r="AD60" s="47">
        <v>1</v>
      </c>
      <c r="AE60" s="47">
        <v>6</v>
      </c>
      <c r="AF60" s="47">
        <v>6</v>
      </c>
      <c r="AG60" s="47">
        <f>SUM(AD60:AF60)</f>
        <v>13</v>
      </c>
      <c r="AH60" s="47">
        <v>6</v>
      </c>
      <c r="AI60" s="47">
        <v>10</v>
      </c>
      <c r="AJ60" s="47">
        <v>1</v>
      </c>
      <c r="AK60" s="47">
        <v>2</v>
      </c>
      <c r="AL60" s="47">
        <f>SUM(AJ60:AK60)</f>
        <v>3</v>
      </c>
      <c r="AM60" s="47">
        <v>91</v>
      </c>
      <c r="AN60" s="47">
        <v>86</v>
      </c>
      <c r="AO60" s="47">
        <v>28</v>
      </c>
      <c r="AP60" s="48">
        <f t="shared" ref="AP60:AP61" si="26">(AM60*AN60)/(AM60+AN60)</f>
        <v>44.21468926553672</v>
      </c>
      <c r="AQ60" s="48">
        <f>AO60-AP60</f>
        <v>-16.21468926553672</v>
      </c>
      <c r="AR60" s="47">
        <v>2</v>
      </c>
      <c r="AS60" s="47">
        <v>18</v>
      </c>
      <c r="AT60" s="47">
        <v>15</v>
      </c>
      <c r="AU60" s="36">
        <f>SUM(AS60:AT60)</f>
        <v>33</v>
      </c>
      <c r="AV60" s="36">
        <v>76</v>
      </c>
      <c r="AW60" s="36">
        <v>362</v>
      </c>
      <c r="AX60" s="47">
        <v>4</v>
      </c>
      <c r="AY60" s="47">
        <v>5</v>
      </c>
      <c r="AZ60" s="47">
        <f>SUM(AX60:AY60)</f>
        <v>9</v>
      </c>
      <c r="BA60" s="47">
        <v>20</v>
      </c>
      <c r="BB60" s="36">
        <v>3</v>
      </c>
    </row>
    <row r="61" spans="1:54" customFormat="1">
      <c r="A61" s="7">
        <v>45</v>
      </c>
      <c r="B61" s="7">
        <v>1</v>
      </c>
      <c r="C61" s="34">
        <v>2</v>
      </c>
      <c r="D61" s="6">
        <v>3</v>
      </c>
      <c r="E61" s="7">
        <v>1</v>
      </c>
      <c r="F61" s="7">
        <v>2</v>
      </c>
      <c r="G61" s="7">
        <v>50000</v>
      </c>
      <c r="H61" s="7">
        <v>1</v>
      </c>
      <c r="I61" s="5">
        <v>24</v>
      </c>
      <c r="J61" s="5">
        <v>1</v>
      </c>
      <c r="K61" s="5">
        <v>0</v>
      </c>
      <c r="L61" s="72">
        <f t="shared" si="6"/>
        <v>1.8125</v>
      </c>
      <c r="M61" s="38">
        <v>29</v>
      </c>
      <c r="N61" s="18">
        <v>98.75</v>
      </c>
      <c r="O61" s="4">
        <v>0.15659000000000001</v>
      </c>
      <c r="P61" s="4">
        <v>0.65105599999999997</v>
      </c>
      <c r="Q61" s="4">
        <v>0.11</v>
      </c>
      <c r="R61" s="4">
        <v>0</v>
      </c>
      <c r="S61" s="33">
        <v>-2.9544959999999998</v>
      </c>
      <c r="T61" s="33">
        <v>-2.4831910000000001</v>
      </c>
      <c r="U61" s="32">
        <v>-3.07</v>
      </c>
      <c r="V61" s="33">
        <v>-7.3949420000000003</v>
      </c>
      <c r="W61" s="47">
        <v>8</v>
      </c>
      <c r="X61" s="47">
        <v>6</v>
      </c>
      <c r="Y61" s="47">
        <v>6</v>
      </c>
      <c r="Z61" s="47">
        <v>4</v>
      </c>
      <c r="AA61" s="47">
        <v>3</v>
      </c>
      <c r="AB61" s="47">
        <v>9</v>
      </c>
      <c r="AC61" s="47">
        <v>11</v>
      </c>
      <c r="AD61" s="47">
        <v>3</v>
      </c>
      <c r="AE61" s="47">
        <v>6</v>
      </c>
      <c r="AF61" s="47">
        <v>6</v>
      </c>
      <c r="AG61" s="47">
        <f>SUM(AD61:AF61)</f>
        <v>15</v>
      </c>
      <c r="AH61" s="47">
        <v>4</v>
      </c>
      <c r="AI61" s="47">
        <v>12</v>
      </c>
      <c r="AJ61" s="47">
        <v>2</v>
      </c>
      <c r="AK61" s="47">
        <v>0</v>
      </c>
      <c r="AL61" s="47">
        <f>SUM(AJ61:AK61)</f>
        <v>2</v>
      </c>
      <c r="AM61" s="47">
        <v>15</v>
      </c>
      <c r="AN61" s="47">
        <v>12</v>
      </c>
      <c r="AO61" s="47">
        <v>10</v>
      </c>
      <c r="AP61" s="48">
        <f t="shared" si="26"/>
        <v>6.666666666666667</v>
      </c>
      <c r="AQ61" s="48">
        <f>AO61-AP61</f>
        <v>3.333333333333333</v>
      </c>
      <c r="AR61" s="47">
        <v>1</v>
      </c>
      <c r="AS61" s="47">
        <v>11</v>
      </c>
      <c r="AT61" s="47">
        <v>20</v>
      </c>
      <c r="AU61" s="36">
        <f>SUM(AS61:AT61)</f>
        <v>31</v>
      </c>
      <c r="AV61" s="36">
        <v>90</v>
      </c>
      <c r="AW61" s="36">
        <v>270</v>
      </c>
      <c r="AX61" s="47">
        <v>1</v>
      </c>
      <c r="AY61" s="47">
        <v>1</v>
      </c>
      <c r="AZ61" s="47">
        <f>SUM(AX61:AY61)</f>
        <v>2</v>
      </c>
      <c r="BA61" s="47">
        <v>5</v>
      </c>
      <c r="BB61" s="36">
        <v>0</v>
      </c>
    </row>
    <row r="62" spans="1:54" customFormat="1">
      <c r="A62" s="7">
        <v>28</v>
      </c>
      <c r="B62" s="7">
        <v>1</v>
      </c>
      <c r="C62" s="34">
        <v>11</v>
      </c>
      <c r="D62" s="6">
        <v>1</v>
      </c>
      <c r="E62" s="7">
        <v>1</v>
      </c>
      <c r="F62" s="7">
        <v>2</v>
      </c>
      <c r="G62" s="7">
        <v>125000</v>
      </c>
      <c r="H62" s="7">
        <v>2</v>
      </c>
      <c r="I62" s="5">
        <v>25</v>
      </c>
      <c r="J62" s="5">
        <v>0</v>
      </c>
      <c r="K62" s="5">
        <v>0</v>
      </c>
      <c r="L62" s="72">
        <f t="shared" si="6"/>
        <v>2.5625</v>
      </c>
      <c r="M62" s="38">
        <v>41</v>
      </c>
      <c r="N62" s="18">
        <v>93.75</v>
      </c>
      <c r="O62" s="4">
        <v>98.281796999999997</v>
      </c>
      <c r="P62" s="4">
        <v>24.432632000000002</v>
      </c>
      <c r="Q62" s="4">
        <v>46.17</v>
      </c>
      <c r="R62" s="4">
        <v>2.183818</v>
      </c>
      <c r="S62" s="33">
        <v>2.115774</v>
      </c>
      <c r="T62" s="33">
        <v>-0.69245299999999999</v>
      </c>
      <c r="U62" s="32">
        <v>-0.1</v>
      </c>
      <c r="V62" s="33">
        <v>-2.0171830000000002</v>
      </c>
      <c r="W62" s="47">
        <v>36</v>
      </c>
      <c r="X62" s="47">
        <v>31</v>
      </c>
      <c r="Y62" s="47">
        <v>7</v>
      </c>
      <c r="Z62" s="47">
        <v>9</v>
      </c>
      <c r="AA62" s="47">
        <v>10</v>
      </c>
      <c r="AB62" s="47">
        <v>15</v>
      </c>
      <c r="AC62" s="47">
        <v>12</v>
      </c>
      <c r="AD62" s="47">
        <v>5</v>
      </c>
      <c r="AE62" s="47">
        <v>8</v>
      </c>
      <c r="AF62" s="47">
        <v>9</v>
      </c>
      <c r="AG62" s="47">
        <f>SUM(AD62:AF62)</f>
        <v>22</v>
      </c>
      <c r="AH62" s="47">
        <v>10</v>
      </c>
      <c r="AI62" s="47">
        <v>12</v>
      </c>
      <c r="AJ62" s="47">
        <v>2</v>
      </c>
      <c r="AK62" s="47">
        <v>0</v>
      </c>
      <c r="AL62" s="47">
        <f>SUM(AJ62:AK62)</f>
        <v>2</v>
      </c>
      <c r="AM62" s="47">
        <v>76</v>
      </c>
      <c r="AN62" s="47">
        <v>67</v>
      </c>
      <c r="AO62" s="47">
        <v>34</v>
      </c>
      <c r="AP62" s="48">
        <f>(AM62*AN62)/(AM62+AN62)</f>
        <v>35.608391608391607</v>
      </c>
      <c r="AQ62" s="48">
        <f>AO62-AP62</f>
        <v>-1.6083916083916066</v>
      </c>
      <c r="AR62" s="47">
        <v>5</v>
      </c>
      <c r="AS62" s="47">
        <v>3</v>
      </c>
      <c r="AT62" s="47">
        <v>7</v>
      </c>
      <c r="AU62" s="36">
        <f>SUM(AS62:AT62)</f>
        <v>10</v>
      </c>
      <c r="AV62" s="36">
        <v>68</v>
      </c>
      <c r="AW62" s="36">
        <v>219</v>
      </c>
      <c r="AX62" s="47">
        <v>7</v>
      </c>
      <c r="AY62" s="47">
        <v>8</v>
      </c>
      <c r="AZ62" s="47">
        <f>SUM(AX62:AY62)</f>
        <v>15</v>
      </c>
      <c r="BA62" s="47">
        <v>32</v>
      </c>
      <c r="BB62" s="36">
        <v>0</v>
      </c>
    </row>
    <row r="63" spans="1:54" customFormat="1">
      <c r="A63" s="7">
        <v>29</v>
      </c>
      <c r="B63" s="7">
        <v>2</v>
      </c>
      <c r="C63" s="34">
        <v>5</v>
      </c>
      <c r="D63" s="6">
        <v>1</v>
      </c>
      <c r="E63" s="7">
        <v>1</v>
      </c>
      <c r="F63" s="7">
        <v>2</v>
      </c>
      <c r="G63" s="7">
        <v>50000</v>
      </c>
      <c r="H63" s="7">
        <v>1</v>
      </c>
      <c r="I63" s="5">
        <v>20</v>
      </c>
      <c r="J63" s="5">
        <v>1</v>
      </c>
      <c r="K63" s="5">
        <v>0</v>
      </c>
      <c r="L63" s="72">
        <f t="shared" si="6"/>
        <v>1.8125</v>
      </c>
      <c r="M63" s="38">
        <v>29</v>
      </c>
      <c r="N63" s="18">
        <v>44.25</v>
      </c>
      <c r="O63" s="4">
        <v>53.355536000000001</v>
      </c>
      <c r="P63" s="4">
        <v>13.111046999999999</v>
      </c>
      <c r="Q63" s="4">
        <v>44.98</v>
      </c>
      <c r="R63" s="4">
        <v>1.0759999999999999E-3</v>
      </c>
      <c r="S63" s="33">
        <v>8.4209999999999993E-2</v>
      </c>
      <c r="T63" s="33">
        <v>-1.121157</v>
      </c>
      <c r="U63" s="32">
        <v>-0.13</v>
      </c>
      <c r="V63" s="33">
        <v>-4.2484140000000004</v>
      </c>
      <c r="W63" s="47">
        <v>35</v>
      </c>
      <c r="X63" s="47">
        <v>16</v>
      </c>
      <c r="Y63" s="47">
        <v>7</v>
      </c>
      <c r="Z63" s="47">
        <v>8</v>
      </c>
      <c r="AA63" s="47">
        <v>8</v>
      </c>
      <c r="AB63" s="47">
        <v>13</v>
      </c>
      <c r="AC63" s="47">
        <v>11</v>
      </c>
      <c r="AD63" s="47">
        <v>3</v>
      </c>
      <c r="AE63" s="47">
        <v>5</v>
      </c>
      <c r="AF63" s="47">
        <v>8</v>
      </c>
      <c r="AG63" s="47">
        <f t="shared" si="20"/>
        <v>16</v>
      </c>
      <c r="AH63" s="47">
        <v>9</v>
      </c>
      <c r="AI63" s="47">
        <v>11</v>
      </c>
      <c r="AJ63" s="47">
        <v>3</v>
      </c>
      <c r="AK63" s="47">
        <v>1</v>
      </c>
      <c r="AL63" s="47">
        <f t="shared" si="7"/>
        <v>4</v>
      </c>
      <c r="AM63" s="47">
        <v>60</v>
      </c>
      <c r="AN63" s="47">
        <v>46</v>
      </c>
      <c r="AO63" s="47">
        <v>37</v>
      </c>
      <c r="AP63" s="48">
        <f t="shared" si="24"/>
        <v>26.037735849056602</v>
      </c>
      <c r="AQ63" s="48">
        <f t="shared" si="22"/>
        <v>10.962264150943398</v>
      </c>
      <c r="AR63" s="47">
        <v>4</v>
      </c>
      <c r="AS63" s="47">
        <v>8</v>
      </c>
      <c r="AT63" s="47">
        <v>6</v>
      </c>
      <c r="AU63" s="36">
        <f t="shared" si="25"/>
        <v>14</v>
      </c>
      <c r="AV63" s="47">
        <v>57</v>
      </c>
      <c r="AW63" s="47">
        <v>411</v>
      </c>
      <c r="AX63" s="47">
        <v>5</v>
      </c>
      <c r="AY63" s="47">
        <v>4</v>
      </c>
      <c r="AZ63" s="47">
        <f t="shared" si="19"/>
        <v>9</v>
      </c>
      <c r="BA63" s="47">
        <v>32</v>
      </c>
      <c r="BB63" s="47">
        <v>0</v>
      </c>
    </row>
    <row r="64" spans="1:54" customFormat="1">
      <c r="A64" s="7">
        <v>24</v>
      </c>
      <c r="B64" s="7">
        <v>2</v>
      </c>
      <c r="C64" s="34">
        <v>5</v>
      </c>
      <c r="D64" s="6">
        <v>2</v>
      </c>
      <c r="E64" s="7">
        <v>1</v>
      </c>
      <c r="F64" s="7">
        <v>2</v>
      </c>
      <c r="G64" s="7">
        <v>100000</v>
      </c>
      <c r="H64" s="7">
        <v>1</v>
      </c>
      <c r="I64" s="5">
        <v>21</v>
      </c>
      <c r="J64" s="5">
        <v>1</v>
      </c>
      <c r="K64" s="5">
        <v>0</v>
      </c>
      <c r="L64" s="72">
        <f t="shared" si="6"/>
        <v>2.5</v>
      </c>
      <c r="M64" s="38">
        <v>40</v>
      </c>
      <c r="N64" s="18">
        <v>90.5</v>
      </c>
      <c r="O64" s="4">
        <v>3.7500000000000001E-4</v>
      </c>
      <c r="P64" s="4">
        <v>0.50595900000000005</v>
      </c>
      <c r="Q64" s="4">
        <v>0.12</v>
      </c>
      <c r="R64" s="4">
        <v>0</v>
      </c>
      <c r="S64" s="33">
        <v>-4.4788189999999997</v>
      </c>
      <c r="T64" s="33">
        <v>-2.5717300000000001</v>
      </c>
      <c r="U64" s="32">
        <v>-3.02</v>
      </c>
      <c r="V64" s="33">
        <v>-7.9957039999999999</v>
      </c>
      <c r="W64" s="47">
        <v>3</v>
      </c>
      <c r="X64" s="47">
        <v>6</v>
      </c>
      <c r="Y64" s="47">
        <v>3</v>
      </c>
      <c r="Z64" s="47">
        <v>3</v>
      </c>
      <c r="AA64" s="47">
        <v>2</v>
      </c>
      <c r="AB64" s="47">
        <v>13</v>
      </c>
      <c r="AC64" s="47">
        <v>12</v>
      </c>
      <c r="AD64" s="47">
        <v>5</v>
      </c>
      <c r="AE64" s="47">
        <v>2</v>
      </c>
      <c r="AF64" s="47">
        <v>4</v>
      </c>
      <c r="AG64" s="47">
        <f t="shared" si="20"/>
        <v>11</v>
      </c>
      <c r="AH64" s="47">
        <v>9</v>
      </c>
      <c r="AI64" s="47">
        <v>12</v>
      </c>
      <c r="AJ64" s="47">
        <v>3</v>
      </c>
      <c r="AK64" s="47">
        <v>0</v>
      </c>
      <c r="AL64" s="47">
        <f t="shared" si="7"/>
        <v>3</v>
      </c>
      <c r="AM64" s="47">
        <v>55</v>
      </c>
      <c r="AN64" s="47">
        <v>41</v>
      </c>
      <c r="AO64" s="47">
        <v>23</v>
      </c>
      <c r="AP64" s="48">
        <f t="shared" si="24"/>
        <v>23.489583333333332</v>
      </c>
      <c r="AQ64" s="48">
        <f t="shared" si="22"/>
        <v>-0.48958333333333215</v>
      </c>
      <c r="AR64" s="47">
        <v>1</v>
      </c>
      <c r="AS64" s="47">
        <v>12</v>
      </c>
      <c r="AT64" s="47">
        <v>12</v>
      </c>
      <c r="AU64" s="36">
        <f t="shared" si="25"/>
        <v>24</v>
      </c>
      <c r="AV64" s="47">
        <v>81</v>
      </c>
      <c r="AW64" s="47">
        <v>474</v>
      </c>
      <c r="AX64" s="47">
        <v>5</v>
      </c>
      <c r="AY64" s="47">
        <v>5</v>
      </c>
      <c r="AZ64" s="47">
        <f t="shared" si="19"/>
        <v>10</v>
      </c>
      <c r="BA64" s="47">
        <v>14</v>
      </c>
      <c r="BB64" s="47">
        <v>3</v>
      </c>
    </row>
    <row r="65" spans="1:54" customFormat="1">
      <c r="A65" s="7">
        <v>57</v>
      </c>
      <c r="B65" s="7">
        <v>2</v>
      </c>
      <c r="C65" s="34">
        <v>0</v>
      </c>
      <c r="D65" s="6">
        <v>2</v>
      </c>
      <c r="E65" s="7">
        <v>1</v>
      </c>
      <c r="F65" s="7">
        <v>2</v>
      </c>
      <c r="G65" s="7">
        <v>50000</v>
      </c>
      <c r="H65" s="7">
        <v>1</v>
      </c>
      <c r="I65" s="5">
        <v>21</v>
      </c>
      <c r="J65" s="5">
        <v>1</v>
      </c>
      <c r="K65" s="5">
        <v>0</v>
      </c>
      <c r="L65" s="72">
        <f t="shared" si="6"/>
        <v>1.8125</v>
      </c>
      <c r="M65" s="38">
        <v>29</v>
      </c>
      <c r="N65" s="18">
        <v>50.708333333333336</v>
      </c>
      <c r="O65" s="4">
        <v>7.1900000000000002E-3</v>
      </c>
      <c r="P65" s="4">
        <v>0.12878600000000001</v>
      </c>
      <c r="Q65" s="4">
        <v>0.28000000000000003</v>
      </c>
      <c r="R65" s="4">
        <v>0</v>
      </c>
      <c r="S65" s="33">
        <v>-3.8015469999999998</v>
      </c>
      <c r="T65" s="33">
        <v>-3.0143</v>
      </c>
      <c r="U65" s="32">
        <v>-2.78</v>
      </c>
      <c r="V65" s="33">
        <v>-10.536927</v>
      </c>
      <c r="W65" s="47">
        <v>9</v>
      </c>
      <c r="X65" s="47">
        <v>3</v>
      </c>
      <c r="Y65" s="46">
        <v>2</v>
      </c>
      <c r="Z65" s="46">
        <v>4</v>
      </c>
      <c r="AA65" s="46">
        <v>3</v>
      </c>
      <c r="AB65" s="47">
        <v>7</v>
      </c>
      <c r="AC65" s="47">
        <v>8</v>
      </c>
      <c r="AD65" s="47">
        <v>1</v>
      </c>
      <c r="AE65" s="47">
        <v>2</v>
      </c>
      <c r="AF65" s="47">
        <v>5</v>
      </c>
      <c r="AG65" s="47">
        <f t="shared" si="20"/>
        <v>8</v>
      </c>
      <c r="AH65" s="47">
        <v>1</v>
      </c>
      <c r="AI65" s="47">
        <v>11</v>
      </c>
      <c r="AJ65" s="47">
        <v>0</v>
      </c>
      <c r="AK65" s="47">
        <v>0</v>
      </c>
      <c r="AL65" s="47">
        <f t="shared" si="7"/>
        <v>0</v>
      </c>
      <c r="AM65" s="47">
        <v>15</v>
      </c>
      <c r="AN65" s="47">
        <v>10</v>
      </c>
      <c r="AO65" s="47">
        <v>8</v>
      </c>
      <c r="AP65" s="48">
        <f t="shared" si="24"/>
        <v>6</v>
      </c>
      <c r="AQ65" s="48">
        <f t="shared" si="22"/>
        <v>2</v>
      </c>
      <c r="AR65" s="47">
        <v>0</v>
      </c>
      <c r="AS65" s="46">
        <v>15</v>
      </c>
      <c r="AT65" s="46">
        <v>17</v>
      </c>
      <c r="AU65" s="36">
        <f t="shared" si="25"/>
        <v>32</v>
      </c>
      <c r="AV65" s="46">
        <v>210</v>
      </c>
      <c r="AW65" s="46">
        <v>601</v>
      </c>
      <c r="AX65" s="47">
        <v>1</v>
      </c>
      <c r="AY65" s="47">
        <v>1</v>
      </c>
      <c r="AZ65" s="47">
        <f t="shared" si="19"/>
        <v>2</v>
      </c>
      <c r="BA65" s="47">
        <v>5</v>
      </c>
      <c r="BB65" s="47">
        <v>1</v>
      </c>
    </row>
    <row r="66" spans="1:54" customFormat="1">
      <c r="A66" s="7">
        <v>23</v>
      </c>
      <c r="B66" s="7">
        <v>1</v>
      </c>
      <c r="C66" s="34">
        <v>7</v>
      </c>
      <c r="D66" s="6">
        <v>3</v>
      </c>
      <c r="E66" s="7">
        <v>1</v>
      </c>
      <c r="F66" s="7">
        <v>2</v>
      </c>
      <c r="G66" s="7">
        <v>300000</v>
      </c>
      <c r="H66" s="7">
        <v>1</v>
      </c>
      <c r="I66" s="5">
        <v>27</v>
      </c>
      <c r="J66" s="5">
        <v>0</v>
      </c>
      <c r="K66" s="5">
        <v>0</v>
      </c>
      <c r="L66" s="72">
        <f t="shared" si="6"/>
        <v>3.3125</v>
      </c>
      <c r="M66" s="38">
        <v>53</v>
      </c>
      <c r="N66" s="18">
        <v>99.375</v>
      </c>
      <c r="O66" s="4">
        <v>26.071251</v>
      </c>
      <c r="P66" s="4">
        <v>42.065415999999999</v>
      </c>
      <c r="Q66" s="4">
        <v>16.059999999999999</v>
      </c>
      <c r="R66" s="4">
        <v>4.4135000000000001E-2</v>
      </c>
      <c r="S66" s="33">
        <v>-0.64115</v>
      </c>
      <c r="T66" s="33">
        <v>-0.20022000000000001</v>
      </c>
      <c r="U66" s="32">
        <v>-0.99</v>
      </c>
      <c r="V66" s="33">
        <v>-3.3254709999999998</v>
      </c>
      <c r="W66" s="47">
        <v>22</v>
      </c>
      <c r="X66" s="47">
        <v>13</v>
      </c>
      <c r="Y66" s="47">
        <v>5</v>
      </c>
      <c r="Z66" s="47">
        <v>9</v>
      </c>
      <c r="AA66" s="47">
        <v>7</v>
      </c>
      <c r="AB66" s="47">
        <v>21</v>
      </c>
      <c r="AC66" s="47">
        <v>15</v>
      </c>
      <c r="AD66" s="47">
        <v>3</v>
      </c>
      <c r="AE66" s="47">
        <v>9</v>
      </c>
      <c r="AF66" s="47">
        <v>10</v>
      </c>
      <c r="AG66" s="47">
        <f t="shared" si="20"/>
        <v>22</v>
      </c>
      <c r="AH66" s="47">
        <v>10</v>
      </c>
      <c r="AI66" s="47">
        <v>12</v>
      </c>
      <c r="AJ66" s="47">
        <v>1</v>
      </c>
      <c r="AK66" s="47">
        <v>0</v>
      </c>
      <c r="AL66" s="47">
        <f t="shared" si="7"/>
        <v>1</v>
      </c>
      <c r="AM66" s="47">
        <v>68</v>
      </c>
      <c r="AN66" s="47">
        <v>48</v>
      </c>
      <c r="AO66" s="47">
        <v>45</v>
      </c>
      <c r="AP66" s="48">
        <f t="shared" si="24"/>
        <v>28.137931034482758</v>
      </c>
      <c r="AQ66" s="48">
        <f t="shared" si="22"/>
        <v>16.862068965517242</v>
      </c>
      <c r="AR66" s="47">
        <v>2</v>
      </c>
      <c r="AS66" s="47">
        <v>14</v>
      </c>
      <c r="AT66" s="47">
        <v>14</v>
      </c>
      <c r="AU66" s="36">
        <f t="shared" si="25"/>
        <v>28</v>
      </c>
      <c r="AV66" s="47">
        <v>35</v>
      </c>
      <c r="AW66" s="47">
        <v>315</v>
      </c>
      <c r="AX66" s="47">
        <v>9</v>
      </c>
      <c r="AY66" s="47">
        <v>7</v>
      </c>
      <c r="AZ66" s="47">
        <f t="shared" si="19"/>
        <v>16</v>
      </c>
      <c r="BA66" s="47">
        <v>29</v>
      </c>
      <c r="BB66" s="47">
        <v>0</v>
      </c>
    </row>
    <row r="67" spans="1:54" customFormat="1">
      <c r="A67" s="7">
        <v>37</v>
      </c>
      <c r="B67" s="7">
        <v>2</v>
      </c>
      <c r="C67" s="34">
        <v>2</v>
      </c>
      <c r="D67" s="6">
        <v>2</v>
      </c>
      <c r="E67" s="7">
        <v>1</v>
      </c>
      <c r="F67" s="7">
        <v>2</v>
      </c>
      <c r="G67" s="7">
        <v>150000</v>
      </c>
      <c r="H67" s="7">
        <v>1</v>
      </c>
      <c r="I67" s="5">
        <v>28</v>
      </c>
      <c r="J67" s="5">
        <v>1</v>
      </c>
      <c r="K67" s="5">
        <v>0</v>
      </c>
      <c r="L67" s="72">
        <f t="shared" ref="L67:L89" si="27">M67/16</f>
        <v>2.1875</v>
      </c>
      <c r="M67" s="38">
        <v>35</v>
      </c>
      <c r="N67" s="18">
        <v>92.375</v>
      </c>
      <c r="O67" s="4">
        <v>4.1760260000000002</v>
      </c>
      <c r="P67" s="4">
        <v>7.2547E-2</v>
      </c>
      <c r="Q67" s="4">
        <v>0.38</v>
      </c>
      <c r="R67" s="4">
        <v>1.2086E-2</v>
      </c>
      <c r="S67" s="33">
        <v>-1.730615</v>
      </c>
      <c r="T67" s="33">
        <v>-3.1843210000000002</v>
      </c>
      <c r="U67" s="32">
        <v>-2.67</v>
      </c>
      <c r="V67" s="33">
        <v>-3.6708699999999999</v>
      </c>
      <c r="W67" s="47">
        <v>35</v>
      </c>
      <c r="X67" s="47">
        <v>4</v>
      </c>
      <c r="Y67" s="47">
        <v>2</v>
      </c>
      <c r="Z67" s="47">
        <v>1</v>
      </c>
      <c r="AA67" s="47">
        <v>4</v>
      </c>
      <c r="AB67" s="47">
        <v>12</v>
      </c>
      <c r="AC67" s="47">
        <v>8</v>
      </c>
      <c r="AD67" s="47">
        <v>3</v>
      </c>
      <c r="AE67" s="47">
        <v>3</v>
      </c>
      <c r="AF67" s="47">
        <v>5</v>
      </c>
      <c r="AG67" s="47">
        <f t="shared" si="20"/>
        <v>11</v>
      </c>
      <c r="AH67" s="47">
        <v>6</v>
      </c>
      <c r="AI67" s="47">
        <v>11</v>
      </c>
      <c r="AJ67" s="47">
        <v>2</v>
      </c>
      <c r="AK67" s="47">
        <v>0</v>
      </c>
      <c r="AL67" s="47">
        <f t="shared" si="7"/>
        <v>2</v>
      </c>
      <c r="AM67" s="47">
        <v>48</v>
      </c>
      <c r="AN67" s="47">
        <v>61</v>
      </c>
      <c r="AO67" s="47">
        <v>27</v>
      </c>
      <c r="AP67" s="48">
        <f t="shared" si="24"/>
        <v>26.862385321100916</v>
      </c>
      <c r="AQ67" s="48">
        <f t="shared" si="22"/>
        <v>0.13761467889908374</v>
      </c>
      <c r="AR67" s="47">
        <v>1</v>
      </c>
      <c r="AS67" s="47">
        <v>6</v>
      </c>
      <c r="AT67" s="47">
        <v>20</v>
      </c>
      <c r="AU67" s="36">
        <f t="shared" si="25"/>
        <v>26</v>
      </c>
      <c r="AV67" s="47">
        <v>77</v>
      </c>
      <c r="AW67" s="47">
        <v>181</v>
      </c>
      <c r="AX67" s="47">
        <v>4</v>
      </c>
      <c r="AY67" s="47">
        <v>3</v>
      </c>
      <c r="AZ67" s="47">
        <f t="shared" si="19"/>
        <v>7</v>
      </c>
      <c r="BA67" s="47">
        <v>16</v>
      </c>
      <c r="BB67" s="36">
        <v>1</v>
      </c>
    </row>
    <row r="68" spans="1:54" customFormat="1">
      <c r="A68" s="7">
        <v>31</v>
      </c>
      <c r="B68" s="7">
        <v>1</v>
      </c>
      <c r="C68" s="34">
        <v>6</v>
      </c>
      <c r="D68" s="6">
        <v>3</v>
      </c>
      <c r="E68" s="7">
        <v>1</v>
      </c>
      <c r="F68" s="7">
        <v>2</v>
      </c>
      <c r="G68" s="7">
        <v>100000</v>
      </c>
      <c r="H68" s="7">
        <v>1</v>
      </c>
      <c r="I68" s="5">
        <v>28</v>
      </c>
      <c r="J68" s="5">
        <v>0</v>
      </c>
      <c r="K68" s="5">
        <v>0</v>
      </c>
      <c r="L68" s="72">
        <f t="shared" si="27"/>
        <v>2.125</v>
      </c>
      <c r="M68" s="38">
        <v>34</v>
      </c>
      <c r="N68" s="18">
        <v>89.5</v>
      </c>
      <c r="O68" s="4">
        <v>41.49089</v>
      </c>
      <c r="P68" s="4">
        <v>10.232075</v>
      </c>
      <c r="Q68" s="4">
        <v>33.5</v>
      </c>
      <c r="R68" s="4">
        <v>2.7979940000000001</v>
      </c>
      <c r="S68" s="33">
        <v>-0.21493499999999999</v>
      </c>
      <c r="T68" s="33">
        <v>-1.268438</v>
      </c>
      <c r="U68" s="32">
        <v>-0.43</v>
      </c>
      <c r="V68" s="33">
        <v>-1.911348</v>
      </c>
      <c r="W68" s="47">
        <v>30</v>
      </c>
      <c r="X68" s="47">
        <v>18</v>
      </c>
      <c r="Y68" s="47">
        <v>8</v>
      </c>
      <c r="Z68" s="47">
        <v>7</v>
      </c>
      <c r="AA68" s="47">
        <v>8</v>
      </c>
      <c r="AB68" s="47">
        <v>12</v>
      </c>
      <c r="AC68" s="47">
        <v>12</v>
      </c>
      <c r="AD68" s="47">
        <v>4</v>
      </c>
      <c r="AE68" s="47">
        <v>6</v>
      </c>
      <c r="AF68" s="47">
        <v>8</v>
      </c>
      <c r="AG68" s="47">
        <f t="shared" si="20"/>
        <v>18</v>
      </c>
      <c r="AH68" s="47">
        <v>8</v>
      </c>
      <c r="AI68" s="47">
        <v>11</v>
      </c>
      <c r="AJ68" s="47">
        <v>1</v>
      </c>
      <c r="AK68" s="47">
        <v>0</v>
      </c>
      <c r="AL68" s="47">
        <f t="shared" si="7"/>
        <v>1</v>
      </c>
      <c r="AM68" s="47">
        <v>80</v>
      </c>
      <c r="AN68" s="47">
        <v>60</v>
      </c>
      <c r="AO68" s="47">
        <v>36</v>
      </c>
      <c r="AP68" s="48">
        <f t="shared" si="24"/>
        <v>34.285714285714285</v>
      </c>
      <c r="AQ68" s="48">
        <f t="shared" si="22"/>
        <v>1.7142857142857153</v>
      </c>
      <c r="AR68" s="47">
        <v>3</v>
      </c>
      <c r="AS68" s="47">
        <v>4</v>
      </c>
      <c r="AT68" s="47">
        <v>8</v>
      </c>
      <c r="AU68" s="36">
        <f t="shared" si="25"/>
        <v>12</v>
      </c>
      <c r="AV68" s="47">
        <v>65</v>
      </c>
      <c r="AW68" s="47">
        <v>170</v>
      </c>
      <c r="AX68" s="47">
        <v>6</v>
      </c>
      <c r="AY68" s="47">
        <v>5</v>
      </c>
      <c r="AZ68" s="47">
        <f t="shared" si="19"/>
        <v>11</v>
      </c>
      <c r="BA68" s="47">
        <v>22</v>
      </c>
      <c r="BB68" s="36">
        <v>0</v>
      </c>
    </row>
    <row r="69" spans="1:54" customFormat="1">
      <c r="A69" s="7">
        <v>33</v>
      </c>
      <c r="B69" s="7">
        <v>1</v>
      </c>
      <c r="C69" s="34">
        <v>5</v>
      </c>
      <c r="D69" s="6">
        <v>1</v>
      </c>
      <c r="E69" s="7">
        <v>1</v>
      </c>
      <c r="F69" s="7">
        <v>2</v>
      </c>
      <c r="G69" s="7">
        <v>300000</v>
      </c>
      <c r="H69" s="7">
        <v>1</v>
      </c>
      <c r="I69" s="5">
        <v>26</v>
      </c>
      <c r="J69" s="5">
        <v>1</v>
      </c>
      <c r="K69" s="5">
        <v>0</v>
      </c>
      <c r="L69" s="72">
        <f t="shared" si="27"/>
        <v>1.8125</v>
      </c>
      <c r="M69" s="38">
        <v>29</v>
      </c>
      <c r="N69" s="18">
        <v>89.5</v>
      </c>
      <c r="O69" s="4">
        <v>0.16384499999999999</v>
      </c>
      <c r="P69" s="4">
        <v>1.8072999999999999E-2</v>
      </c>
      <c r="Q69" s="4">
        <v>0.01</v>
      </c>
      <c r="R69" s="4">
        <v>0</v>
      </c>
      <c r="S69" s="33">
        <v>-2.9404940000000002</v>
      </c>
      <c r="T69" s="33">
        <v>-3.5667330000000002</v>
      </c>
      <c r="U69" s="32">
        <v>-3.67</v>
      </c>
      <c r="V69" s="33">
        <v>-7.9021800000000004</v>
      </c>
      <c r="W69" s="47">
        <v>22</v>
      </c>
      <c r="X69" s="47">
        <v>8</v>
      </c>
      <c r="Y69" s="47">
        <v>5</v>
      </c>
      <c r="Z69" s="47">
        <v>4</v>
      </c>
      <c r="AA69" s="47">
        <v>4</v>
      </c>
      <c r="AB69" s="47">
        <v>6</v>
      </c>
      <c r="AC69" s="47">
        <v>7</v>
      </c>
      <c r="AD69" s="47">
        <v>3</v>
      </c>
      <c r="AE69" s="47">
        <v>4</v>
      </c>
      <c r="AF69" s="47">
        <v>3</v>
      </c>
      <c r="AG69" s="47">
        <f t="shared" si="20"/>
        <v>10</v>
      </c>
      <c r="AH69" s="47">
        <v>5</v>
      </c>
      <c r="AI69" s="47">
        <v>9</v>
      </c>
      <c r="AJ69" s="47">
        <v>2</v>
      </c>
      <c r="AK69" s="47">
        <v>2</v>
      </c>
      <c r="AL69" s="47">
        <f t="shared" si="7"/>
        <v>4</v>
      </c>
      <c r="AM69" s="47">
        <v>40</v>
      </c>
      <c r="AN69" s="47">
        <v>25</v>
      </c>
      <c r="AO69" s="47">
        <v>11</v>
      </c>
      <c r="AP69" s="48">
        <f t="shared" si="24"/>
        <v>15.384615384615385</v>
      </c>
      <c r="AQ69" s="48">
        <f t="shared" si="22"/>
        <v>-4.384615384615385</v>
      </c>
      <c r="AR69" s="47">
        <v>0</v>
      </c>
      <c r="AS69" s="47">
        <v>8</v>
      </c>
      <c r="AT69" s="47">
        <v>18</v>
      </c>
      <c r="AU69" s="36">
        <f t="shared" si="25"/>
        <v>26</v>
      </c>
      <c r="AV69" s="47">
        <v>115</v>
      </c>
      <c r="AW69" s="47">
        <v>385</v>
      </c>
      <c r="AX69" s="47">
        <v>1</v>
      </c>
      <c r="AY69" s="47">
        <v>2</v>
      </c>
      <c r="AZ69" s="47">
        <f t="shared" si="19"/>
        <v>3</v>
      </c>
      <c r="BA69" s="47">
        <v>7</v>
      </c>
      <c r="BB69" s="36">
        <v>0</v>
      </c>
    </row>
    <row r="70" spans="1:54" customFormat="1">
      <c r="A70" s="7">
        <v>44</v>
      </c>
      <c r="B70" s="7">
        <v>2</v>
      </c>
      <c r="C70" s="34">
        <v>0</v>
      </c>
      <c r="D70" s="6">
        <v>1</v>
      </c>
      <c r="E70" s="7">
        <v>1</v>
      </c>
      <c r="F70" s="7">
        <v>1</v>
      </c>
      <c r="G70" s="7">
        <v>300000</v>
      </c>
      <c r="H70" s="7">
        <v>1</v>
      </c>
      <c r="I70" s="5">
        <v>26</v>
      </c>
      <c r="J70" s="5">
        <v>1</v>
      </c>
      <c r="K70" s="5">
        <v>0</v>
      </c>
      <c r="L70" s="72">
        <f t="shared" si="27"/>
        <v>1.4375</v>
      </c>
      <c r="M70" s="38">
        <v>23</v>
      </c>
      <c r="N70" s="18">
        <v>74.875</v>
      </c>
      <c r="O70" s="4">
        <v>0.28056399999999998</v>
      </c>
      <c r="P70" s="4">
        <v>4.0724000000000003E-2</v>
      </c>
      <c r="Q70" s="4">
        <v>0.02</v>
      </c>
      <c r="R70" s="4">
        <v>0</v>
      </c>
      <c r="S70" s="33">
        <v>-2.7696719999999999</v>
      </c>
      <c r="T70" s="33">
        <v>-3.3478289999999999</v>
      </c>
      <c r="U70" s="32">
        <v>-3.54</v>
      </c>
      <c r="V70" s="33">
        <v>-11.211057</v>
      </c>
      <c r="W70" s="47">
        <v>18</v>
      </c>
      <c r="X70" s="47">
        <v>9</v>
      </c>
      <c r="Y70" s="47">
        <v>3</v>
      </c>
      <c r="Z70" s="47">
        <v>5</v>
      </c>
      <c r="AA70" s="47">
        <v>5</v>
      </c>
      <c r="AB70" s="47">
        <v>7</v>
      </c>
      <c r="AC70" s="47">
        <v>5</v>
      </c>
      <c r="AD70" s="47">
        <v>4</v>
      </c>
      <c r="AE70" s="47">
        <v>3</v>
      </c>
      <c r="AF70" s="47">
        <v>4</v>
      </c>
      <c r="AG70" s="47">
        <f t="shared" si="20"/>
        <v>11</v>
      </c>
      <c r="AH70" s="47">
        <v>5</v>
      </c>
      <c r="AI70" s="47">
        <v>8</v>
      </c>
      <c r="AJ70" s="47">
        <v>1</v>
      </c>
      <c r="AK70" s="47">
        <v>1</v>
      </c>
      <c r="AL70" s="47">
        <f t="shared" si="7"/>
        <v>2</v>
      </c>
      <c r="AM70" s="47">
        <v>25</v>
      </c>
      <c r="AN70" s="47">
        <v>22</v>
      </c>
      <c r="AO70" s="47">
        <v>21</v>
      </c>
      <c r="AP70" s="48">
        <f t="shared" si="24"/>
        <v>11.702127659574469</v>
      </c>
      <c r="AQ70" s="48">
        <f t="shared" si="22"/>
        <v>9.2978723404255312</v>
      </c>
      <c r="AR70" s="47">
        <v>0</v>
      </c>
      <c r="AS70" s="47">
        <v>18</v>
      </c>
      <c r="AT70" s="47">
        <v>20</v>
      </c>
      <c r="AU70" s="36">
        <f t="shared" si="25"/>
        <v>38</v>
      </c>
      <c r="AV70" s="47">
        <v>215</v>
      </c>
      <c r="AW70" s="47">
        <v>580</v>
      </c>
      <c r="AX70" s="47">
        <v>1</v>
      </c>
      <c r="AY70" s="47">
        <v>0</v>
      </c>
      <c r="AZ70" s="47">
        <f t="shared" si="19"/>
        <v>1</v>
      </c>
      <c r="BA70" s="47">
        <v>6</v>
      </c>
      <c r="BB70" s="36">
        <v>1</v>
      </c>
    </row>
    <row r="71" spans="1:54" customFormat="1">
      <c r="A71" s="7">
        <v>21</v>
      </c>
      <c r="B71" s="7">
        <v>2</v>
      </c>
      <c r="C71" s="34">
        <v>11</v>
      </c>
      <c r="D71" s="6">
        <v>1</v>
      </c>
      <c r="E71" s="7">
        <v>1</v>
      </c>
      <c r="F71" s="7">
        <v>2</v>
      </c>
      <c r="G71" s="7">
        <v>50000</v>
      </c>
      <c r="H71" s="7">
        <v>1</v>
      </c>
      <c r="I71" s="5">
        <v>24</v>
      </c>
      <c r="J71" s="5">
        <v>0</v>
      </c>
      <c r="K71" s="5">
        <v>0</v>
      </c>
      <c r="L71" s="72">
        <f t="shared" si="27"/>
        <v>3.5</v>
      </c>
      <c r="M71" s="38">
        <v>56</v>
      </c>
      <c r="N71" s="18">
        <v>92.333333333333343</v>
      </c>
      <c r="O71" s="4">
        <v>98.978823000000006</v>
      </c>
      <c r="P71" s="4">
        <v>99.999521999999999</v>
      </c>
      <c r="Q71" s="4">
        <v>63.53</v>
      </c>
      <c r="R71" s="4">
        <v>38.175218999999998</v>
      </c>
      <c r="S71" s="33">
        <v>2.3184749999999998</v>
      </c>
      <c r="T71" s="33">
        <v>4.4267320000000003</v>
      </c>
      <c r="U71" s="32">
        <v>0.35</v>
      </c>
      <c r="V71" s="33">
        <v>-0.30088199999999998</v>
      </c>
      <c r="W71" s="47">
        <v>35</v>
      </c>
      <c r="X71" s="47">
        <v>32</v>
      </c>
      <c r="Y71" s="47">
        <v>15</v>
      </c>
      <c r="Z71" s="47">
        <v>18</v>
      </c>
      <c r="AA71" s="47">
        <v>20</v>
      </c>
      <c r="AB71" s="47">
        <v>22</v>
      </c>
      <c r="AC71" s="47">
        <v>23</v>
      </c>
      <c r="AD71" s="47">
        <v>6</v>
      </c>
      <c r="AE71" s="47">
        <v>7</v>
      </c>
      <c r="AF71" s="47">
        <v>9</v>
      </c>
      <c r="AG71" s="47">
        <f t="shared" si="20"/>
        <v>22</v>
      </c>
      <c r="AH71" s="47">
        <v>12</v>
      </c>
      <c r="AI71" s="47">
        <v>12</v>
      </c>
      <c r="AJ71" s="47">
        <v>0</v>
      </c>
      <c r="AK71" s="47">
        <v>2</v>
      </c>
      <c r="AL71" s="47">
        <f t="shared" si="7"/>
        <v>2</v>
      </c>
      <c r="AM71" s="47">
        <v>92</v>
      </c>
      <c r="AN71" s="47">
        <v>75</v>
      </c>
      <c r="AO71" s="47">
        <v>44</v>
      </c>
      <c r="AP71" s="48">
        <f t="shared" si="24"/>
        <v>41.317365269461078</v>
      </c>
      <c r="AQ71" s="48">
        <f t="shared" si="22"/>
        <v>2.682634730538922</v>
      </c>
      <c r="AR71" s="47">
        <v>5</v>
      </c>
      <c r="AS71" s="47">
        <v>1</v>
      </c>
      <c r="AT71" s="47">
        <v>5</v>
      </c>
      <c r="AU71" s="36">
        <f t="shared" si="25"/>
        <v>6</v>
      </c>
      <c r="AV71" s="47">
        <v>52</v>
      </c>
      <c r="AW71" s="47">
        <v>120</v>
      </c>
      <c r="AX71" s="47">
        <v>8</v>
      </c>
      <c r="AY71" s="47">
        <v>10</v>
      </c>
      <c r="AZ71" s="47">
        <f t="shared" si="19"/>
        <v>18</v>
      </c>
      <c r="BA71" s="47">
        <v>18</v>
      </c>
      <c r="BB71" s="36">
        <v>0</v>
      </c>
    </row>
    <row r="72" spans="1:54" customFormat="1">
      <c r="A72" s="7">
        <v>36</v>
      </c>
      <c r="B72" s="7">
        <v>2</v>
      </c>
      <c r="C72" s="34">
        <v>3</v>
      </c>
      <c r="D72" s="6">
        <v>1</v>
      </c>
      <c r="E72" s="7">
        <v>1</v>
      </c>
      <c r="F72" s="7">
        <v>1</v>
      </c>
      <c r="G72" s="7">
        <v>150000</v>
      </c>
      <c r="H72" s="7">
        <v>1</v>
      </c>
      <c r="I72" s="5">
        <v>23</v>
      </c>
      <c r="J72" s="5">
        <v>1</v>
      </c>
      <c r="K72" s="5">
        <v>0</v>
      </c>
      <c r="L72" s="72">
        <f t="shared" si="27"/>
        <v>2.125</v>
      </c>
      <c r="M72" s="38">
        <v>34</v>
      </c>
      <c r="N72" s="18">
        <v>97.5</v>
      </c>
      <c r="O72" s="4">
        <v>6.4086000000000004E-2</v>
      </c>
      <c r="P72" s="4">
        <v>1.256E-3</v>
      </c>
      <c r="Q72" s="4">
        <v>0.01</v>
      </c>
      <c r="R72" s="4">
        <v>0</v>
      </c>
      <c r="S72" s="33">
        <v>-3.2200389999999999</v>
      </c>
      <c r="T72" s="33">
        <v>-4.2137989999999999</v>
      </c>
      <c r="U72" s="32">
        <v>-3.71</v>
      </c>
      <c r="V72" s="33">
        <v>-9.2778679999999998</v>
      </c>
      <c r="W72" s="47">
        <v>19</v>
      </c>
      <c r="X72" s="47">
        <v>7</v>
      </c>
      <c r="Y72" s="47">
        <v>5</v>
      </c>
      <c r="Z72" s="47">
        <v>1</v>
      </c>
      <c r="AA72" s="47">
        <v>3</v>
      </c>
      <c r="AB72" s="47">
        <v>4</v>
      </c>
      <c r="AC72" s="47">
        <v>5</v>
      </c>
      <c r="AD72" s="47">
        <v>3</v>
      </c>
      <c r="AE72" s="47">
        <v>3</v>
      </c>
      <c r="AF72" s="47">
        <v>4</v>
      </c>
      <c r="AG72" s="47">
        <f t="shared" si="20"/>
        <v>10</v>
      </c>
      <c r="AH72" s="47">
        <v>5</v>
      </c>
      <c r="AI72" s="47">
        <v>8</v>
      </c>
      <c r="AJ72" s="47">
        <v>2</v>
      </c>
      <c r="AK72" s="47">
        <v>2</v>
      </c>
      <c r="AL72" s="47">
        <f t="shared" si="7"/>
        <v>4</v>
      </c>
      <c r="AM72" s="47">
        <v>36</v>
      </c>
      <c r="AN72" s="47">
        <v>20</v>
      </c>
      <c r="AO72" s="47">
        <v>15</v>
      </c>
      <c r="AP72" s="48">
        <f t="shared" si="24"/>
        <v>12.857142857142858</v>
      </c>
      <c r="AQ72" s="48">
        <f t="shared" si="22"/>
        <v>2.1428571428571423</v>
      </c>
      <c r="AR72" s="47">
        <v>1</v>
      </c>
      <c r="AS72" s="47">
        <v>12</v>
      </c>
      <c r="AT72" s="47">
        <v>21</v>
      </c>
      <c r="AU72" s="36">
        <f t="shared" si="25"/>
        <v>33</v>
      </c>
      <c r="AV72" s="47">
        <v>165</v>
      </c>
      <c r="AW72" s="47">
        <v>423</v>
      </c>
      <c r="AX72" s="47">
        <v>2</v>
      </c>
      <c r="AY72" s="47">
        <v>1</v>
      </c>
      <c r="AZ72" s="47">
        <f t="shared" si="19"/>
        <v>3</v>
      </c>
      <c r="BA72" s="47">
        <v>5</v>
      </c>
      <c r="BB72" s="36">
        <v>0</v>
      </c>
    </row>
    <row r="73" spans="1:54" customFormat="1">
      <c r="A73" s="7">
        <v>47</v>
      </c>
      <c r="B73" s="7">
        <v>2</v>
      </c>
      <c r="C73" s="34">
        <v>0</v>
      </c>
      <c r="D73" s="6">
        <v>1</v>
      </c>
      <c r="E73" s="7">
        <v>1</v>
      </c>
      <c r="F73" s="7">
        <v>2</v>
      </c>
      <c r="G73" s="7">
        <v>300000</v>
      </c>
      <c r="H73" s="7">
        <v>1</v>
      </c>
      <c r="I73" s="5">
        <v>24</v>
      </c>
      <c r="J73" s="5">
        <v>1</v>
      </c>
      <c r="K73" s="5">
        <v>0</v>
      </c>
      <c r="L73" s="72">
        <f t="shared" si="27"/>
        <v>1.3125</v>
      </c>
      <c r="M73" s="38">
        <v>21</v>
      </c>
      <c r="N73" s="18">
        <v>80.3125</v>
      </c>
      <c r="O73" s="4">
        <v>0.78562699999999996</v>
      </c>
      <c r="P73" s="4">
        <v>1.0449999999999999E-3</v>
      </c>
      <c r="Q73" s="4">
        <v>0</v>
      </c>
      <c r="R73" s="4">
        <v>0</v>
      </c>
      <c r="S73" s="33">
        <v>-2.4155250000000001</v>
      </c>
      <c r="T73" s="33">
        <v>-4.255128</v>
      </c>
      <c r="U73" s="32">
        <v>-3.94</v>
      </c>
      <c r="V73" s="33">
        <v>-9.2976279999999996</v>
      </c>
      <c r="W73" s="47">
        <v>17</v>
      </c>
      <c r="X73" s="47">
        <v>9</v>
      </c>
      <c r="Y73" s="47">
        <v>2</v>
      </c>
      <c r="Z73" s="47">
        <v>1</v>
      </c>
      <c r="AA73" s="47">
        <v>2</v>
      </c>
      <c r="AB73" s="47">
        <v>8</v>
      </c>
      <c r="AC73" s="47">
        <v>3</v>
      </c>
      <c r="AD73" s="47">
        <v>2</v>
      </c>
      <c r="AE73" s="47">
        <v>4</v>
      </c>
      <c r="AF73" s="47">
        <v>5</v>
      </c>
      <c r="AG73" s="47">
        <f t="shared" si="20"/>
        <v>11</v>
      </c>
      <c r="AH73" s="47">
        <v>6</v>
      </c>
      <c r="AI73" s="47">
        <v>10</v>
      </c>
      <c r="AJ73" s="47">
        <v>1</v>
      </c>
      <c r="AK73" s="47">
        <v>0</v>
      </c>
      <c r="AL73" s="47">
        <f t="shared" si="7"/>
        <v>1</v>
      </c>
      <c r="AM73" s="47">
        <v>25</v>
      </c>
      <c r="AN73" s="47">
        <v>15</v>
      </c>
      <c r="AO73" s="47">
        <v>14</v>
      </c>
      <c r="AP73" s="48">
        <f t="shared" si="24"/>
        <v>9.375</v>
      </c>
      <c r="AQ73" s="48">
        <f t="shared" si="22"/>
        <v>4.625</v>
      </c>
      <c r="AR73" s="47">
        <v>0</v>
      </c>
      <c r="AS73" s="47">
        <v>20</v>
      </c>
      <c r="AT73" s="47">
        <v>18</v>
      </c>
      <c r="AU73" s="36">
        <f t="shared" si="25"/>
        <v>38</v>
      </c>
      <c r="AV73" s="47">
        <v>154</v>
      </c>
      <c r="AW73" s="47">
        <v>562</v>
      </c>
      <c r="AX73" s="47">
        <v>0</v>
      </c>
      <c r="AY73" s="47">
        <v>2</v>
      </c>
      <c r="AZ73" s="47">
        <f t="shared" si="19"/>
        <v>2</v>
      </c>
      <c r="BA73" s="47">
        <v>11</v>
      </c>
      <c r="BB73" s="36">
        <v>2</v>
      </c>
    </row>
    <row r="74" spans="1:54" customFormat="1">
      <c r="A74" s="7">
        <v>37</v>
      </c>
      <c r="B74" s="7">
        <v>1</v>
      </c>
      <c r="C74" s="34">
        <v>4</v>
      </c>
      <c r="D74" s="6">
        <v>1</v>
      </c>
      <c r="E74" s="7">
        <v>1</v>
      </c>
      <c r="F74" s="7">
        <v>2</v>
      </c>
      <c r="G74" s="7">
        <v>200000</v>
      </c>
      <c r="H74" s="7">
        <v>2</v>
      </c>
      <c r="I74" s="5">
        <v>25</v>
      </c>
      <c r="J74" s="5">
        <v>1</v>
      </c>
      <c r="K74" s="5">
        <v>0</v>
      </c>
      <c r="L74" s="72">
        <f t="shared" si="27"/>
        <v>1.8125</v>
      </c>
      <c r="M74" s="38">
        <v>29</v>
      </c>
      <c r="N74" s="18">
        <v>89.375</v>
      </c>
      <c r="O74" s="4">
        <v>1.2305E-2</v>
      </c>
      <c r="P74" s="4">
        <v>2.7675999999999999E-2</v>
      </c>
      <c r="Q74" s="4">
        <v>0.25</v>
      </c>
      <c r="R74" s="4">
        <v>0</v>
      </c>
      <c r="S74" s="33">
        <v>-3.6662940000000002</v>
      </c>
      <c r="T74" s="33">
        <v>-3.4534259999999999</v>
      </c>
      <c r="U74" s="32">
        <v>-2.81</v>
      </c>
      <c r="V74" s="33">
        <v>-9.1389619999999994</v>
      </c>
      <c r="W74" s="47">
        <v>12</v>
      </c>
      <c r="X74" s="47">
        <v>6</v>
      </c>
      <c r="Y74" s="47">
        <v>4</v>
      </c>
      <c r="Z74" s="47">
        <v>5</v>
      </c>
      <c r="AA74" s="47">
        <v>6</v>
      </c>
      <c r="AB74" s="47">
        <v>6</v>
      </c>
      <c r="AC74" s="47">
        <v>6</v>
      </c>
      <c r="AD74" s="47">
        <v>3</v>
      </c>
      <c r="AE74" s="47">
        <v>3</v>
      </c>
      <c r="AF74" s="47">
        <v>4</v>
      </c>
      <c r="AG74" s="47">
        <f t="shared" si="20"/>
        <v>10</v>
      </c>
      <c r="AH74" s="47">
        <v>4</v>
      </c>
      <c r="AI74" s="47">
        <v>11</v>
      </c>
      <c r="AJ74" s="47">
        <v>2</v>
      </c>
      <c r="AK74" s="47">
        <v>1</v>
      </c>
      <c r="AL74" s="47">
        <f t="shared" si="7"/>
        <v>3</v>
      </c>
      <c r="AM74" s="47">
        <v>31</v>
      </c>
      <c r="AN74" s="47">
        <v>18</v>
      </c>
      <c r="AO74" s="47">
        <v>15</v>
      </c>
      <c r="AP74" s="48">
        <f t="shared" si="24"/>
        <v>11.387755102040817</v>
      </c>
      <c r="AQ74" s="48">
        <f t="shared" si="22"/>
        <v>3.612244897959183</v>
      </c>
      <c r="AR74" s="47">
        <v>1</v>
      </c>
      <c r="AS74" s="47">
        <v>15</v>
      </c>
      <c r="AT74" s="47">
        <v>12</v>
      </c>
      <c r="AU74" s="36">
        <f t="shared" si="25"/>
        <v>27</v>
      </c>
      <c r="AV74" s="47">
        <v>185</v>
      </c>
      <c r="AW74" s="47">
        <v>365</v>
      </c>
      <c r="AX74" s="47">
        <v>1</v>
      </c>
      <c r="AY74" s="47">
        <v>2</v>
      </c>
      <c r="AZ74" s="47">
        <f t="shared" si="19"/>
        <v>3</v>
      </c>
      <c r="BA74" s="47">
        <v>15</v>
      </c>
      <c r="BB74" s="36">
        <v>1</v>
      </c>
    </row>
    <row r="75" spans="1:54" customFormat="1">
      <c r="A75" s="7">
        <v>59</v>
      </c>
      <c r="B75" s="7">
        <v>2</v>
      </c>
      <c r="C75" s="34">
        <v>0</v>
      </c>
      <c r="D75" s="6">
        <v>2</v>
      </c>
      <c r="E75" s="7">
        <v>1</v>
      </c>
      <c r="F75" s="7">
        <v>2</v>
      </c>
      <c r="G75" s="7">
        <v>100000</v>
      </c>
      <c r="H75" s="7">
        <v>1</v>
      </c>
      <c r="I75" s="5">
        <v>21</v>
      </c>
      <c r="J75" s="5">
        <v>1</v>
      </c>
      <c r="K75" s="5">
        <v>0</v>
      </c>
      <c r="L75" s="72">
        <f t="shared" si="27"/>
        <v>1.125</v>
      </c>
      <c r="M75" s="38">
        <v>18</v>
      </c>
      <c r="N75" s="18">
        <v>70.375</v>
      </c>
      <c r="O75" s="4">
        <v>0.65340399999999998</v>
      </c>
      <c r="P75" s="4">
        <v>2.4181000000000001E-2</v>
      </c>
      <c r="Q75" s="4">
        <v>0.06</v>
      </c>
      <c r="R75" s="4">
        <v>0</v>
      </c>
      <c r="S75" s="33">
        <v>-2.4819089999999999</v>
      </c>
      <c r="T75" s="33">
        <v>-3.4896660000000002</v>
      </c>
      <c r="U75" s="32">
        <v>-3.24</v>
      </c>
      <c r="V75" s="33">
        <v>-8.7398790000000002</v>
      </c>
      <c r="W75" s="47">
        <v>8</v>
      </c>
      <c r="X75" s="47">
        <v>6</v>
      </c>
      <c r="Y75" s="47">
        <v>3</v>
      </c>
      <c r="Z75" s="47">
        <v>4</v>
      </c>
      <c r="AA75" s="47">
        <v>4</v>
      </c>
      <c r="AB75" s="47">
        <v>5</v>
      </c>
      <c r="AC75" s="47">
        <v>4</v>
      </c>
      <c r="AD75" s="47">
        <v>2</v>
      </c>
      <c r="AE75" s="47">
        <v>3</v>
      </c>
      <c r="AF75" s="47">
        <v>5</v>
      </c>
      <c r="AG75" s="47">
        <f t="shared" si="20"/>
        <v>10</v>
      </c>
      <c r="AH75" s="47">
        <v>6</v>
      </c>
      <c r="AI75" s="47">
        <v>10</v>
      </c>
      <c r="AJ75" s="47">
        <v>1</v>
      </c>
      <c r="AK75" s="47">
        <v>2</v>
      </c>
      <c r="AL75" s="47">
        <f t="shared" si="7"/>
        <v>3</v>
      </c>
      <c r="AM75" s="47">
        <v>15</v>
      </c>
      <c r="AN75" s="47">
        <v>12</v>
      </c>
      <c r="AO75" s="47">
        <v>10</v>
      </c>
      <c r="AP75" s="48">
        <f t="shared" si="24"/>
        <v>6.666666666666667</v>
      </c>
      <c r="AQ75" s="48">
        <f t="shared" si="22"/>
        <v>3.333333333333333</v>
      </c>
      <c r="AR75" s="47">
        <v>0</v>
      </c>
      <c r="AS75" s="47">
        <v>21</v>
      </c>
      <c r="AT75" s="47">
        <v>9</v>
      </c>
      <c r="AU75" s="36">
        <f t="shared" si="25"/>
        <v>30</v>
      </c>
      <c r="AV75" s="47">
        <v>215</v>
      </c>
      <c r="AW75" s="47">
        <v>347</v>
      </c>
      <c r="AX75" s="47">
        <v>2</v>
      </c>
      <c r="AY75" s="47">
        <v>0</v>
      </c>
      <c r="AZ75" s="47">
        <f t="shared" si="19"/>
        <v>2</v>
      </c>
      <c r="BA75" s="47">
        <v>12</v>
      </c>
      <c r="BB75" s="36">
        <v>2</v>
      </c>
    </row>
    <row r="76" spans="1:54" customFormat="1">
      <c r="A76" s="7">
        <v>27</v>
      </c>
      <c r="B76" s="7">
        <v>2</v>
      </c>
      <c r="C76" s="34">
        <v>11</v>
      </c>
      <c r="D76" s="6">
        <v>1</v>
      </c>
      <c r="E76" s="7">
        <v>3</v>
      </c>
      <c r="F76" s="7">
        <v>2</v>
      </c>
      <c r="G76" s="7">
        <v>150000</v>
      </c>
      <c r="H76" s="7">
        <v>1</v>
      </c>
      <c r="I76" s="5">
        <v>25</v>
      </c>
      <c r="J76" s="5">
        <v>0</v>
      </c>
      <c r="K76" s="5">
        <v>0</v>
      </c>
      <c r="L76" s="72">
        <f t="shared" si="27"/>
        <v>3.625</v>
      </c>
      <c r="M76" s="38">
        <v>58</v>
      </c>
      <c r="N76" s="18">
        <v>92.25</v>
      </c>
      <c r="O76" s="4">
        <v>46.698633000000001</v>
      </c>
      <c r="P76" s="4">
        <v>22.113384</v>
      </c>
      <c r="Q76" s="4">
        <v>80.260000000000005</v>
      </c>
      <c r="R76" s="4">
        <v>36.595899000000003</v>
      </c>
      <c r="S76" s="33">
        <v>-8.2848000000000005E-2</v>
      </c>
      <c r="T76" s="33">
        <v>-0.76837</v>
      </c>
      <c r="U76" s="32">
        <v>0.85</v>
      </c>
      <c r="V76" s="33">
        <v>-0.34257500000000002</v>
      </c>
      <c r="W76" s="47">
        <v>32</v>
      </c>
      <c r="X76" s="47">
        <v>28</v>
      </c>
      <c r="Y76" s="47">
        <v>8</v>
      </c>
      <c r="Z76" s="47">
        <v>7</v>
      </c>
      <c r="AA76" s="47">
        <v>8</v>
      </c>
      <c r="AB76" s="47">
        <v>14</v>
      </c>
      <c r="AC76" s="47">
        <v>13</v>
      </c>
      <c r="AD76" s="47">
        <v>4</v>
      </c>
      <c r="AE76" s="47">
        <v>5</v>
      </c>
      <c r="AF76" s="47">
        <v>6</v>
      </c>
      <c r="AG76" s="47">
        <f t="shared" si="20"/>
        <v>15</v>
      </c>
      <c r="AH76" s="47">
        <v>7</v>
      </c>
      <c r="AI76" s="47">
        <v>10</v>
      </c>
      <c r="AJ76" s="47">
        <v>0</v>
      </c>
      <c r="AK76" s="47">
        <v>0</v>
      </c>
      <c r="AL76" s="47">
        <f t="shared" si="7"/>
        <v>0</v>
      </c>
      <c r="AM76" s="47">
        <v>78</v>
      </c>
      <c r="AN76" s="47">
        <v>65</v>
      </c>
      <c r="AO76" s="47">
        <v>48</v>
      </c>
      <c r="AP76" s="48">
        <f t="shared" si="24"/>
        <v>35.454545454545453</v>
      </c>
      <c r="AQ76" s="48">
        <f t="shared" si="22"/>
        <v>12.545454545454547</v>
      </c>
      <c r="AR76" s="47">
        <v>4</v>
      </c>
      <c r="AS76" s="47">
        <v>2</v>
      </c>
      <c r="AT76" s="47">
        <v>6</v>
      </c>
      <c r="AU76" s="36">
        <f t="shared" si="25"/>
        <v>8</v>
      </c>
      <c r="AV76" s="47">
        <v>56</v>
      </c>
      <c r="AW76" s="47">
        <v>112</v>
      </c>
      <c r="AX76" s="47">
        <v>10</v>
      </c>
      <c r="AY76" s="47">
        <v>9</v>
      </c>
      <c r="AZ76" s="47">
        <f t="shared" si="19"/>
        <v>19</v>
      </c>
      <c r="BA76" s="47">
        <v>26</v>
      </c>
      <c r="BB76" s="36">
        <v>0</v>
      </c>
    </row>
    <row r="77" spans="1:54" customFormat="1">
      <c r="A77" s="7">
        <v>29</v>
      </c>
      <c r="B77" s="7">
        <v>2</v>
      </c>
      <c r="C77" s="34">
        <v>11</v>
      </c>
      <c r="D77" s="6">
        <v>1</v>
      </c>
      <c r="E77" s="7">
        <v>1</v>
      </c>
      <c r="F77" s="7">
        <v>1</v>
      </c>
      <c r="G77" s="7">
        <v>250000</v>
      </c>
      <c r="H77" s="7">
        <v>1</v>
      </c>
      <c r="I77" s="5">
        <v>24</v>
      </c>
      <c r="J77" s="5">
        <v>0</v>
      </c>
      <c r="K77" s="5">
        <v>0</v>
      </c>
      <c r="L77" s="72">
        <f t="shared" si="27"/>
        <v>3.125</v>
      </c>
      <c r="M77" s="38">
        <v>50</v>
      </c>
      <c r="N77" s="18">
        <v>87.8125</v>
      </c>
      <c r="O77" s="4">
        <v>95.264882</v>
      </c>
      <c r="P77" s="4">
        <v>98.984273000000002</v>
      </c>
      <c r="Q77" s="4">
        <v>43.82</v>
      </c>
      <c r="R77" s="4">
        <v>38.247280000000003</v>
      </c>
      <c r="S77" s="33">
        <v>1.671098</v>
      </c>
      <c r="T77" s="33">
        <v>2.320487</v>
      </c>
      <c r="U77" s="32">
        <v>-0.16</v>
      </c>
      <c r="V77" s="33">
        <v>-0.29899300000000001</v>
      </c>
      <c r="W77" s="36">
        <v>36</v>
      </c>
      <c r="X77" s="36">
        <v>32</v>
      </c>
      <c r="Y77" s="36">
        <v>14</v>
      </c>
      <c r="Z77" s="36">
        <v>12</v>
      </c>
      <c r="AA77" s="36">
        <v>15</v>
      </c>
      <c r="AB77" s="36">
        <v>18</v>
      </c>
      <c r="AC77" s="36">
        <v>19</v>
      </c>
      <c r="AD77" s="36">
        <v>5</v>
      </c>
      <c r="AE77" s="36">
        <v>8</v>
      </c>
      <c r="AF77" s="36">
        <v>8</v>
      </c>
      <c r="AG77" s="36">
        <f t="shared" si="20"/>
        <v>21</v>
      </c>
      <c r="AH77" s="36">
        <v>8</v>
      </c>
      <c r="AI77" s="36">
        <v>12</v>
      </c>
      <c r="AJ77" s="36">
        <v>0</v>
      </c>
      <c r="AK77" s="36">
        <v>0</v>
      </c>
      <c r="AL77" s="36">
        <f t="shared" si="7"/>
        <v>0</v>
      </c>
      <c r="AM77" s="36">
        <v>86</v>
      </c>
      <c r="AN77" s="36">
        <v>52</v>
      </c>
      <c r="AO77" s="36">
        <v>40</v>
      </c>
      <c r="AP77" s="48">
        <f t="shared" si="24"/>
        <v>32.405797101449274</v>
      </c>
      <c r="AQ77" s="36">
        <f t="shared" si="22"/>
        <v>7.5942028985507264</v>
      </c>
      <c r="AR77" s="36">
        <v>3</v>
      </c>
      <c r="AS77" s="36">
        <v>5</v>
      </c>
      <c r="AT77" s="36">
        <v>6</v>
      </c>
      <c r="AU77" s="36">
        <f t="shared" si="25"/>
        <v>11</v>
      </c>
      <c r="AV77" s="36">
        <v>35</v>
      </c>
      <c r="AW77" s="36">
        <v>99</v>
      </c>
      <c r="AX77" s="36">
        <v>8</v>
      </c>
      <c r="AY77" s="36">
        <v>8</v>
      </c>
      <c r="AZ77" s="36">
        <f t="shared" si="19"/>
        <v>16</v>
      </c>
      <c r="BA77" s="36">
        <v>25</v>
      </c>
      <c r="BB77" s="36">
        <v>1</v>
      </c>
    </row>
    <row r="78" spans="1:54" customFormat="1">
      <c r="A78" s="7">
        <v>31</v>
      </c>
      <c r="B78" s="7">
        <v>2</v>
      </c>
      <c r="C78" s="34">
        <v>0</v>
      </c>
      <c r="D78" s="6">
        <v>1</v>
      </c>
      <c r="E78" s="7">
        <v>1</v>
      </c>
      <c r="F78" s="7">
        <v>1</v>
      </c>
      <c r="G78" s="7">
        <v>300000</v>
      </c>
      <c r="H78" s="7">
        <v>1</v>
      </c>
      <c r="I78" s="5">
        <v>26</v>
      </c>
      <c r="J78" s="5">
        <v>1</v>
      </c>
      <c r="K78" s="5">
        <v>0</v>
      </c>
      <c r="L78" s="72">
        <f t="shared" si="27"/>
        <v>1.75</v>
      </c>
      <c r="M78" s="38">
        <v>28</v>
      </c>
      <c r="N78" s="18">
        <v>90.75</v>
      </c>
      <c r="O78" s="4">
        <v>1.9000000000000001E-4</v>
      </c>
      <c r="P78" s="4">
        <v>4.6741999999999999E-2</v>
      </c>
      <c r="Q78" s="4">
        <v>0.05</v>
      </c>
      <c r="R78" s="4">
        <v>0</v>
      </c>
      <c r="S78" s="33">
        <v>-4.6224249999999998</v>
      </c>
      <c r="T78" s="33">
        <v>-3.3094359999999998</v>
      </c>
      <c r="U78" s="32">
        <v>-3.31</v>
      </c>
      <c r="V78" s="33">
        <v>-8.4722950000000008</v>
      </c>
      <c r="W78" s="47">
        <v>12</v>
      </c>
      <c r="X78" s="47">
        <v>8</v>
      </c>
      <c r="Y78" s="36">
        <v>3</v>
      </c>
      <c r="Z78" s="36">
        <v>5</v>
      </c>
      <c r="AA78" s="36">
        <v>1</v>
      </c>
      <c r="AB78" s="36">
        <v>8</v>
      </c>
      <c r="AC78" s="36">
        <v>9</v>
      </c>
      <c r="AD78" s="47">
        <v>2</v>
      </c>
      <c r="AE78" s="47">
        <v>4</v>
      </c>
      <c r="AF78" s="47">
        <v>4</v>
      </c>
      <c r="AG78" s="47">
        <f t="shared" ref="AG78:AG83" si="28">SUM(AD78:AF78)</f>
        <v>10</v>
      </c>
      <c r="AH78" s="47">
        <v>4</v>
      </c>
      <c r="AI78" s="47">
        <v>9</v>
      </c>
      <c r="AJ78" s="47">
        <v>2</v>
      </c>
      <c r="AK78" s="47">
        <v>1</v>
      </c>
      <c r="AL78" s="47">
        <f t="shared" ref="AL78:AL83" si="29">SUM(AJ78:AK78)</f>
        <v>3</v>
      </c>
      <c r="AM78" s="47">
        <v>25</v>
      </c>
      <c r="AN78" s="47">
        <v>12</v>
      </c>
      <c r="AO78" s="47">
        <v>20</v>
      </c>
      <c r="AP78" s="48">
        <f t="shared" si="24"/>
        <v>8.1081081081081088</v>
      </c>
      <c r="AQ78" s="47">
        <f t="shared" si="22"/>
        <v>11.891891891891891</v>
      </c>
      <c r="AR78" s="47">
        <v>0</v>
      </c>
      <c r="AS78" s="36">
        <v>15</v>
      </c>
      <c r="AT78" s="36">
        <v>17</v>
      </c>
      <c r="AU78" s="36">
        <f t="shared" ref="AU78:AU83" si="30">SUM(AS78:AT78)</f>
        <v>32</v>
      </c>
      <c r="AV78" s="36">
        <v>100</v>
      </c>
      <c r="AW78" s="36">
        <v>361</v>
      </c>
      <c r="AX78" s="47">
        <v>2</v>
      </c>
      <c r="AY78" s="47">
        <v>1</v>
      </c>
      <c r="AZ78" s="47">
        <f t="shared" ref="AZ78:AZ83" si="31">SUM(AX78:AY78)</f>
        <v>3</v>
      </c>
      <c r="BA78" s="47">
        <v>6</v>
      </c>
      <c r="BB78" s="36">
        <v>2</v>
      </c>
    </row>
    <row r="79" spans="1:54" customFormat="1">
      <c r="A79" s="7">
        <v>35</v>
      </c>
      <c r="B79" s="7">
        <v>1</v>
      </c>
      <c r="C79" s="34">
        <v>5</v>
      </c>
      <c r="D79" s="6">
        <v>1</v>
      </c>
      <c r="E79" s="7">
        <v>1</v>
      </c>
      <c r="F79" s="7">
        <v>2</v>
      </c>
      <c r="G79" s="7">
        <v>50000</v>
      </c>
      <c r="H79" s="7">
        <v>1</v>
      </c>
      <c r="I79" s="5">
        <v>26</v>
      </c>
      <c r="J79" s="5">
        <v>1</v>
      </c>
      <c r="K79" s="5">
        <v>0</v>
      </c>
      <c r="L79" s="72">
        <f t="shared" si="27"/>
        <v>2.6875</v>
      </c>
      <c r="M79" s="38">
        <v>43</v>
      </c>
      <c r="N79" s="18">
        <v>98.125</v>
      </c>
      <c r="O79" s="4">
        <v>47.133701000000002</v>
      </c>
      <c r="P79" s="4">
        <v>1.9479299999999999</v>
      </c>
      <c r="Q79" s="4">
        <v>0.49</v>
      </c>
      <c r="R79" s="4">
        <v>3.598573</v>
      </c>
      <c r="S79" s="33">
        <v>-7.1909000000000001E-2</v>
      </c>
      <c r="T79" s="33">
        <v>-2.0646239999999998</v>
      </c>
      <c r="U79" s="32">
        <v>-2.58</v>
      </c>
      <c r="V79" s="33">
        <v>-1.799299</v>
      </c>
      <c r="W79" s="47">
        <v>35</v>
      </c>
      <c r="X79" s="47">
        <v>34</v>
      </c>
      <c r="Y79" s="47">
        <v>11</v>
      </c>
      <c r="Z79" s="47">
        <v>5</v>
      </c>
      <c r="AA79" s="47">
        <v>9</v>
      </c>
      <c r="AB79" s="47">
        <v>7</v>
      </c>
      <c r="AC79" s="47">
        <v>8</v>
      </c>
      <c r="AD79" s="47">
        <v>2</v>
      </c>
      <c r="AE79" s="47">
        <v>3</v>
      </c>
      <c r="AF79" s="47">
        <v>5</v>
      </c>
      <c r="AG79" s="47">
        <f t="shared" si="28"/>
        <v>10</v>
      </c>
      <c r="AH79" s="47">
        <v>5</v>
      </c>
      <c r="AI79" s="47">
        <v>11</v>
      </c>
      <c r="AJ79" s="47">
        <v>2</v>
      </c>
      <c r="AK79" s="47">
        <v>0</v>
      </c>
      <c r="AL79" s="47">
        <f t="shared" si="29"/>
        <v>2</v>
      </c>
      <c r="AM79" s="47">
        <v>72</v>
      </c>
      <c r="AN79" s="47">
        <v>59</v>
      </c>
      <c r="AO79" s="47">
        <v>33</v>
      </c>
      <c r="AP79" s="48">
        <f t="shared" si="24"/>
        <v>32.427480916030532</v>
      </c>
      <c r="AQ79" s="48">
        <f t="shared" si="22"/>
        <v>0.5725190839694676</v>
      </c>
      <c r="AR79" s="47">
        <v>2</v>
      </c>
      <c r="AS79" s="47">
        <v>16</v>
      </c>
      <c r="AT79" s="47">
        <v>16</v>
      </c>
      <c r="AU79" s="36">
        <f t="shared" si="30"/>
        <v>32</v>
      </c>
      <c r="AV79" s="47">
        <v>38</v>
      </c>
      <c r="AW79" s="47">
        <v>159</v>
      </c>
      <c r="AX79" s="47">
        <v>6</v>
      </c>
      <c r="AY79" s="47">
        <v>5</v>
      </c>
      <c r="AZ79" s="47">
        <f t="shared" si="31"/>
        <v>11</v>
      </c>
      <c r="BA79" s="47">
        <v>11</v>
      </c>
      <c r="BB79" s="47">
        <v>1</v>
      </c>
    </row>
    <row r="80" spans="1:54" customFormat="1">
      <c r="A80" s="7">
        <v>49</v>
      </c>
      <c r="B80" s="7">
        <v>1</v>
      </c>
      <c r="C80" s="34">
        <v>5</v>
      </c>
      <c r="D80" s="6">
        <v>9</v>
      </c>
      <c r="E80" s="7">
        <v>1</v>
      </c>
      <c r="F80" s="7">
        <v>2</v>
      </c>
      <c r="G80" s="7">
        <v>200000</v>
      </c>
      <c r="H80" s="7">
        <v>1</v>
      </c>
      <c r="I80" s="5">
        <v>25</v>
      </c>
      <c r="J80" s="5">
        <v>1</v>
      </c>
      <c r="K80" s="5">
        <v>0</v>
      </c>
      <c r="L80" s="72">
        <f t="shared" si="27"/>
        <v>1.875</v>
      </c>
      <c r="M80" s="38">
        <v>30</v>
      </c>
      <c r="N80" s="18">
        <v>80.3125</v>
      </c>
      <c r="O80" s="4">
        <v>1.7796890000000001</v>
      </c>
      <c r="P80" s="4">
        <v>5.3810260000000003</v>
      </c>
      <c r="Q80" s="4">
        <v>0.02</v>
      </c>
      <c r="R80" s="4">
        <v>0</v>
      </c>
      <c r="S80" s="33">
        <v>-2.1015380000000001</v>
      </c>
      <c r="T80" s="33">
        <v>-1.608981</v>
      </c>
      <c r="U80" s="32">
        <v>-3.48</v>
      </c>
      <c r="V80" s="33">
        <v>-6.4932220000000003</v>
      </c>
      <c r="W80" s="47">
        <v>24</v>
      </c>
      <c r="X80" s="47">
        <v>18</v>
      </c>
      <c r="Y80" s="47">
        <v>7</v>
      </c>
      <c r="Z80" s="47">
        <v>7</v>
      </c>
      <c r="AA80" s="47">
        <v>7</v>
      </c>
      <c r="AB80" s="47">
        <v>10</v>
      </c>
      <c r="AC80" s="47">
        <v>10</v>
      </c>
      <c r="AD80" s="47">
        <v>5</v>
      </c>
      <c r="AE80" s="47">
        <v>3</v>
      </c>
      <c r="AF80" s="47">
        <v>4</v>
      </c>
      <c r="AG80" s="47">
        <f t="shared" si="28"/>
        <v>12</v>
      </c>
      <c r="AH80" s="47">
        <v>1</v>
      </c>
      <c r="AI80" s="47">
        <v>10</v>
      </c>
      <c r="AJ80" s="47">
        <v>1</v>
      </c>
      <c r="AK80" s="47">
        <v>0</v>
      </c>
      <c r="AL80" s="47">
        <f t="shared" si="29"/>
        <v>1</v>
      </c>
      <c r="AM80" s="47">
        <v>41</v>
      </c>
      <c r="AN80" s="47">
        <v>44</v>
      </c>
      <c r="AO80" s="47">
        <v>16</v>
      </c>
      <c r="AP80" s="48">
        <f t="shared" si="24"/>
        <v>21.223529411764705</v>
      </c>
      <c r="AQ80" s="47">
        <f t="shared" si="22"/>
        <v>-5.2235294117647051</v>
      </c>
      <c r="AR80" s="47">
        <v>2</v>
      </c>
      <c r="AS80" s="47">
        <v>12</v>
      </c>
      <c r="AT80" s="47">
        <v>25</v>
      </c>
      <c r="AU80" s="36">
        <f t="shared" si="30"/>
        <v>37</v>
      </c>
      <c r="AV80" s="47">
        <v>130</v>
      </c>
      <c r="AW80" s="47">
        <v>358</v>
      </c>
      <c r="AX80" s="47">
        <v>0</v>
      </c>
      <c r="AY80" s="47">
        <v>1</v>
      </c>
      <c r="AZ80" s="47">
        <f t="shared" si="31"/>
        <v>1</v>
      </c>
      <c r="BA80" s="47">
        <v>4</v>
      </c>
      <c r="BB80" s="47">
        <v>0</v>
      </c>
    </row>
    <row r="81" spans="1:54" customFormat="1">
      <c r="A81" s="7">
        <v>18</v>
      </c>
      <c r="B81" s="7">
        <v>1</v>
      </c>
      <c r="C81" s="34">
        <v>9</v>
      </c>
      <c r="D81" s="6">
        <v>4</v>
      </c>
      <c r="E81" s="7">
        <v>1</v>
      </c>
      <c r="F81" s="7">
        <v>2</v>
      </c>
      <c r="G81" s="7">
        <v>600000</v>
      </c>
      <c r="H81" s="7">
        <v>1</v>
      </c>
      <c r="I81" s="5">
        <v>25</v>
      </c>
      <c r="J81" s="5">
        <v>0</v>
      </c>
      <c r="K81" s="5">
        <v>1</v>
      </c>
      <c r="L81" s="72">
        <f t="shared" si="27"/>
        <v>2.875</v>
      </c>
      <c r="M81" s="38">
        <v>46</v>
      </c>
      <c r="N81" s="18">
        <v>99.375</v>
      </c>
      <c r="O81" s="4">
        <v>84.412661</v>
      </c>
      <c r="P81" s="4">
        <v>59.723838999999998</v>
      </c>
      <c r="Q81" s="4">
        <v>28.63</v>
      </c>
      <c r="R81" s="4">
        <v>45.581459000000002</v>
      </c>
      <c r="S81" s="33">
        <v>1.0115639999999999</v>
      </c>
      <c r="T81" s="33">
        <v>0.24620500000000001</v>
      </c>
      <c r="U81" s="32">
        <v>-0.56000000000000005</v>
      </c>
      <c r="V81" s="33">
        <v>-0.110984</v>
      </c>
      <c r="W81" s="47">
        <v>36</v>
      </c>
      <c r="X81" s="47">
        <v>23</v>
      </c>
      <c r="Y81" s="47">
        <v>10</v>
      </c>
      <c r="Z81" s="47">
        <v>10</v>
      </c>
      <c r="AA81" s="47">
        <v>9</v>
      </c>
      <c r="AB81" s="47">
        <v>20</v>
      </c>
      <c r="AC81" s="47">
        <v>13</v>
      </c>
      <c r="AD81" s="47">
        <v>5</v>
      </c>
      <c r="AE81" s="47">
        <v>8</v>
      </c>
      <c r="AF81" s="47">
        <v>9</v>
      </c>
      <c r="AG81" s="47">
        <f t="shared" si="28"/>
        <v>22</v>
      </c>
      <c r="AH81" s="47">
        <v>8</v>
      </c>
      <c r="AI81" s="47">
        <v>12</v>
      </c>
      <c r="AJ81" s="47">
        <v>0</v>
      </c>
      <c r="AK81" s="47">
        <v>0</v>
      </c>
      <c r="AL81" s="47">
        <f t="shared" si="29"/>
        <v>0</v>
      </c>
      <c r="AM81" s="47">
        <v>102</v>
      </c>
      <c r="AN81" s="47">
        <v>51</v>
      </c>
      <c r="AO81" s="47">
        <v>40</v>
      </c>
      <c r="AP81" s="48">
        <f t="shared" si="24"/>
        <v>34</v>
      </c>
      <c r="AQ81" s="48">
        <f t="shared" si="22"/>
        <v>6</v>
      </c>
      <c r="AR81" s="47">
        <v>3</v>
      </c>
      <c r="AS81" s="47">
        <v>5</v>
      </c>
      <c r="AT81" s="47">
        <v>12</v>
      </c>
      <c r="AU81" s="36">
        <f t="shared" si="30"/>
        <v>17</v>
      </c>
      <c r="AV81" s="47">
        <v>28</v>
      </c>
      <c r="AW81" s="47">
        <v>98</v>
      </c>
      <c r="AX81" s="47">
        <v>9</v>
      </c>
      <c r="AY81" s="47">
        <v>7</v>
      </c>
      <c r="AZ81" s="47">
        <f t="shared" si="31"/>
        <v>16</v>
      </c>
      <c r="BA81" s="47">
        <v>20</v>
      </c>
      <c r="BB81" s="47">
        <v>0</v>
      </c>
    </row>
    <row r="82" spans="1:54" customFormat="1">
      <c r="A82" s="7">
        <v>56</v>
      </c>
      <c r="B82" s="7">
        <v>1</v>
      </c>
      <c r="C82" s="34">
        <v>0</v>
      </c>
      <c r="D82" s="6">
        <v>3</v>
      </c>
      <c r="E82" s="7">
        <v>1</v>
      </c>
      <c r="F82" s="7">
        <v>2</v>
      </c>
      <c r="G82" s="7">
        <v>400000</v>
      </c>
      <c r="H82" s="7">
        <v>1</v>
      </c>
      <c r="I82" s="5">
        <v>28</v>
      </c>
      <c r="J82" s="5">
        <v>1</v>
      </c>
      <c r="K82" s="5">
        <v>0</v>
      </c>
      <c r="L82" s="72">
        <f t="shared" si="27"/>
        <v>2.3125</v>
      </c>
      <c r="M82" s="38">
        <v>37</v>
      </c>
      <c r="N82" s="18">
        <v>75.125</v>
      </c>
      <c r="O82" s="4">
        <v>0.100604</v>
      </c>
      <c r="P82" s="4">
        <v>10.158507</v>
      </c>
      <c r="Q82" s="4">
        <v>3.46</v>
      </c>
      <c r="R82" s="4">
        <v>6.9239999999999996E-3</v>
      </c>
      <c r="S82" s="33">
        <v>-3.088444</v>
      </c>
      <c r="T82" s="33">
        <v>-1.272572</v>
      </c>
      <c r="U82" s="32">
        <v>-1.82</v>
      </c>
      <c r="V82" s="33">
        <v>-3.8108789999999999</v>
      </c>
      <c r="W82" s="47">
        <v>5</v>
      </c>
      <c r="X82" s="47">
        <v>0</v>
      </c>
      <c r="Y82" s="47">
        <v>10</v>
      </c>
      <c r="Z82" s="47">
        <v>6</v>
      </c>
      <c r="AA82" s="47">
        <v>5</v>
      </c>
      <c r="AB82" s="47">
        <v>11</v>
      </c>
      <c r="AC82" s="47">
        <v>10</v>
      </c>
      <c r="AD82" s="47">
        <v>3</v>
      </c>
      <c r="AE82" s="47">
        <v>5</v>
      </c>
      <c r="AF82" s="47">
        <v>5</v>
      </c>
      <c r="AG82" s="47">
        <f t="shared" si="28"/>
        <v>13</v>
      </c>
      <c r="AH82" s="47">
        <v>6</v>
      </c>
      <c r="AI82" s="47">
        <v>10</v>
      </c>
      <c r="AJ82" s="47">
        <v>1</v>
      </c>
      <c r="AK82" s="47">
        <v>0</v>
      </c>
      <c r="AL82" s="47">
        <f t="shared" si="29"/>
        <v>1</v>
      </c>
      <c r="AM82" s="47">
        <v>60</v>
      </c>
      <c r="AN82" s="47">
        <v>40</v>
      </c>
      <c r="AO82" s="47">
        <v>27</v>
      </c>
      <c r="AP82" s="48">
        <f t="shared" si="24"/>
        <v>24</v>
      </c>
      <c r="AQ82" s="48">
        <f t="shared" si="22"/>
        <v>3</v>
      </c>
      <c r="AR82" s="47">
        <v>1</v>
      </c>
      <c r="AS82" s="47">
        <v>17</v>
      </c>
      <c r="AT82" s="47">
        <v>19</v>
      </c>
      <c r="AU82" s="36">
        <f t="shared" si="30"/>
        <v>36</v>
      </c>
      <c r="AV82" s="47">
        <v>80</v>
      </c>
      <c r="AW82" s="47">
        <v>300</v>
      </c>
      <c r="AX82" s="47">
        <v>2</v>
      </c>
      <c r="AY82" s="47">
        <v>1</v>
      </c>
      <c r="AZ82" s="47">
        <f t="shared" si="31"/>
        <v>3</v>
      </c>
      <c r="BA82" s="47">
        <v>7</v>
      </c>
      <c r="BB82" s="47">
        <v>2</v>
      </c>
    </row>
    <row r="83" spans="1:54" customFormat="1">
      <c r="A83" s="7">
        <v>22</v>
      </c>
      <c r="B83" s="7">
        <v>1</v>
      </c>
      <c r="C83" s="34">
        <v>9</v>
      </c>
      <c r="D83" s="6">
        <v>10</v>
      </c>
      <c r="E83" s="7">
        <v>2</v>
      </c>
      <c r="F83" s="7">
        <v>2</v>
      </c>
      <c r="G83" s="7">
        <v>50000</v>
      </c>
      <c r="H83" s="7">
        <v>1</v>
      </c>
      <c r="I83" s="5">
        <v>22</v>
      </c>
      <c r="J83" s="5">
        <v>0</v>
      </c>
      <c r="K83" s="5">
        <v>1</v>
      </c>
      <c r="L83" s="72">
        <f t="shared" si="27"/>
        <v>2.5625</v>
      </c>
      <c r="M83" s="38">
        <v>41</v>
      </c>
      <c r="N83" s="18">
        <v>90.5625</v>
      </c>
      <c r="O83" s="4">
        <v>92.689228999999997</v>
      </c>
      <c r="P83" s="4">
        <v>69.216798999999995</v>
      </c>
      <c r="Q83" s="4">
        <v>2.35</v>
      </c>
      <c r="R83" s="4">
        <v>76.917150000000007</v>
      </c>
      <c r="S83" s="33">
        <v>1.45303</v>
      </c>
      <c r="T83" s="33">
        <v>0.50200500000000003</v>
      </c>
      <c r="U83" s="32">
        <v>-1.99</v>
      </c>
      <c r="V83" s="33">
        <v>0.73612100000000003</v>
      </c>
      <c r="W83" s="47">
        <v>33</v>
      </c>
      <c r="X83" s="47">
        <v>21</v>
      </c>
      <c r="Y83" s="47">
        <v>12</v>
      </c>
      <c r="Z83" s="47">
        <v>10</v>
      </c>
      <c r="AA83" s="47">
        <v>12</v>
      </c>
      <c r="AB83" s="47">
        <v>20</v>
      </c>
      <c r="AC83" s="47">
        <v>11</v>
      </c>
      <c r="AD83" s="47">
        <v>7</v>
      </c>
      <c r="AE83" s="47">
        <v>9</v>
      </c>
      <c r="AF83" s="47">
        <v>10</v>
      </c>
      <c r="AG83" s="47">
        <f t="shared" si="28"/>
        <v>26</v>
      </c>
      <c r="AH83" s="47">
        <v>10</v>
      </c>
      <c r="AI83" s="47">
        <v>12</v>
      </c>
      <c r="AJ83" s="47">
        <v>2</v>
      </c>
      <c r="AK83" s="47">
        <v>0</v>
      </c>
      <c r="AL83" s="47">
        <f t="shared" si="29"/>
        <v>2</v>
      </c>
      <c r="AM83" s="47">
        <v>105</v>
      </c>
      <c r="AN83" s="47">
        <v>75</v>
      </c>
      <c r="AO83" s="47">
        <v>36</v>
      </c>
      <c r="AP83" s="48">
        <f t="shared" si="24"/>
        <v>43.75</v>
      </c>
      <c r="AQ83" s="48">
        <f t="shared" si="22"/>
        <v>-7.75</v>
      </c>
      <c r="AR83" s="47">
        <v>2</v>
      </c>
      <c r="AS83" s="47">
        <v>8</v>
      </c>
      <c r="AT83" s="47">
        <v>18</v>
      </c>
      <c r="AU83" s="36">
        <f t="shared" si="30"/>
        <v>26</v>
      </c>
      <c r="AV83" s="47">
        <v>39</v>
      </c>
      <c r="AW83" s="47">
        <v>71</v>
      </c>
      <c r="AX83" s="47">
        <v>7</v>
      </c>
      <c r="AY83" s="47">
        <v>9</v>
      </c>
      <c r="AZ83" s="47">
        <f t="shared" si="31"/>
        <v>16</v>
      </c>
      <c r="BA83" s="47">
        <v>17</v>
      </c>
      <c r="BB83" s="47">
        <v>0</v>
      </c>
    </row>
    <row r="84" spans="1:54" customFormat="1">
      <c r="A84" s="7">
        <v>38</v>
      </c>
      <c r="B84" s="7">
        <v>1</v>
      </c>
      <c r="C84" s="34">
        <v>3</v>
      </c>
      <c r="D84" s="6">
        <v>1</v>
      </c>
      <c r="E84" s="7">
        <v>1</v>
      </c>
      <c r="F84" s="7">
        <v>2</v>
      </c>
      <c r="G84" s="7">
        <v>300000</v>
      </c>
      <c r="H84" s="7">
        <v>1</v>
      </c>
      <c r="I84" s="5">
        <v>22</v>
      </c>
      <c r="J84" s="5">
        <v>1</v>
      </c>
      <c r="K84" s="5">
        <v>0</v>
      </c>
      <c r="L84" s="72">
        <f t="shared" si="27"/>
        <v>2.3125</v>
      </c>
      <c r="M84" s="38">
        <v>37</v>
      </c>
      <c r="N84" s="18">
        <v>97.5</v>
      </c>
      <c r="O84" s="4">
        <v>95.240823000000006</v>
      </c>
      <c r="P84" s="4">
        <v>19.284901999999999</v>
      </c>
      <c r="Q84" s="4">
        <v>0.03</v>
      </c>
      <c r="R84" s="4">
        <v>24.599468999999999</v>
      </c>
      <c r="S84" s="33">
        <v>1.668666</v>
      </c>
      <c r="T84" s="33">
        <v>-0.86744500000000002</v>
      </c>
      <c r="U84" s="32">
        <v>-3.45</v>
      </c>
      <c r="V84" s="33">
        <v>-0.68714799999999998</v>
      </c>
      <c r="W84" s="47">
        <v>36</v>
      </c>
      <c r="X84" s="47">
        <v>30</v>
      </c>
      <c r="Y84" s="47">
        <v>5</v>
      </c>
      <c r="Z84" s="47">
        <v>7</v>
      </c>
      <c r="AA84" s="47">
        <v>11</v>
      </c>
      <c r="AB84" s="47">
        <v>14</v>
      </c>
      <c r="AC84" s="47">
        <v>13</v>
      </c>
      <c r="AD84" s="47">
        <v>4</v>
      </c>
      <c r="AE84" s="47">
        <v>7</v>
      </c>
      <c r="AF84" s="47">
        <v>9</v>
      </c>
      <c r="AG84" s="47">
        <f t="shared" si="20"/>
        <v>20</v>
      </c>
      <c r="AH84" s="47">
        <v>9</v>
      </c>
      <c r="AI84" s="47">
        <v>11</v>
      </c>
      <c r="AJ84" s="47">
        <v>2</v>
      </c>
      <c r="AK84" s="47">
        <v>0</v>
      </c>
      <c r="AL84" s="47">
        <f t="shared" si="7"/>
        <v>2</v>
      </c>
      <c r="AM84" s="47">
        <v>74</v>
      </c>
      <c r="AN84" s="47">
        <v>70</v>
      </c>
      <c r="AO84" s="47">
        <v>25</v>
      </c>
      <c r="AP84" s="48">
        <f t="shared" si="24"/>
        <v>35.972222222222221</v>
      </c>
      <c r="AQ84" s="48">
        <f t="shared" si="22"/>
        <v>-10.972222222222221</v>
      </c>
      <c r="AR84" s="47">
        <v>1</v>
      </c>
      <c r="AS84" s="47">
        <v>4</v>
      </c>
      <c r="AT84" s="47">
        <v>26</v>
      </c>
      <c r="AU84" s="36">
        <f t="shared" si="25"/>
        <v>30</v>
      </c>
      <c r="AV84" s="47">
        <v>54</v>
      </c>
      <c r="AW84" s="47">
        <v>189</v>
      </c>
      <c r="AX84" s="47">
        <v>4</v>
      </c>
      <c r="AY84" s="47">
        <v>9</v>
      </c>
      <c r="AZ84" s="47">
        <f t="shared" si="19"/>
        <v>13</v>
      </c>
      <c r="BA84" s="47">
        <v>34</v>
      </c>
      <c r="BB84" s="47">
        <v>0</v>
      </c>
    </row>
    <row r="85" spans="1:54" customFormat="1">
      <c r="A85" s="7">
        <v>20</v>
      </c>
      <c r="B85" s="7">
        <v>2</v>
      </c>
      <c r="C85" s="34">
        <v>9</v>
      </c>
      <c r="D85" s="6">
        <v>1</v>
      </c>
      <c r="E85" s="7">
        <v>3</v>
      </c>
      <c r="F85" s="7">
        <v>2</v>
      </c>
      <c r="G85" s="7">
        <v>150000</v>
      </c>
      <c r="H85" s="7">
        <v>1</v>
      </c>
      <c r="I85" s="5">
        <v>20</v>
      </c>
      <c r="J85" s="5">
        <v>0</v>
      </c>
      <c r="K85" s="5">
        <v>0</v>
      </c>
      <c r="L85" s="72">
        <f t="shared" si="27"/>
        <v>2.9375</v>
      </c>
      <c r="M85" s="38">
        <v>47</v>
      </c>
      <c r="N85" s="18">
        <v>90.625</v>
      </c>
      <c r="O85" s="4">
        <v>81.000882000000004</v>
      </c>
      <c r="P85" s="4">
        <v>59.670256999999999</v>
      </c>
      <c r="Q85" s="4">
        <v>0.28000000000000003</v>
      </c>
      <c r="R85" s="4">
        <v>8.3434410000000003</v>
      </c>
      <c r="S85" s="33">
        <v>0.87792899999999996</v>
      </c>
      <c r="T85" s="33">
        <v>0.24482100000000001</v>
      </c>
      <c r="U85" s="32">
        <v>-2.77</v>
      </c>
      <c r="V85" s="33">
        <v>-1.3823350000000001</v>
      </c>
      <c r="W85" s="47">
        <v>33</v>
      </c>
      <c r="X85" s="47">
        <v>28</v>
      </c>
      <c r="Y85" s="47">
        <v>12</v>
      </c>
      <c r="Z85" s="47">
        <v>5</v>
      </c>
      <c r="AA85" s="47">
        <v>11</v>
      </c>
      <c r="AB85" s="47">
        <v>18</v>
      </c>
      <c r="AC85" s="47">
        <v>14</v>
      </c>
      <c r="AD85" s="47">
        <v>6</v>
      </c>
      <c r="AE85" s="47">
        <v>5</v>
      </c>
      <c r="AF85" s="47">
        <v>10</v>
      </c>
      <c r="AG85" s="47">
        <f t="shared" si="20"/>
        <v>21</v>
      </c>
      <c r="AH85" s="47">
        <v>9</v>
      </c>
      <c r="AI85" s="47">
        <v>9</v>
      </c>
      <c r="AJ85" s="47">
        <v>2</v>
      </c>
      <c r="AK85" s="47">
        <v>0</v>
      </c>
      <c r="AL85" s="47">
        <f t="shared" si="7"/>
        <v>2</v>
      </c>
      <c r="AM85" s="47">
        <v>112</v>
      </c>
      <c r="AN85" s="47">
        <v>68</v>
      </c>
      <c r="AO85" s="47">
        <v>33</v>
      </c>
      <c r="AP85" s="48">
        <f t="shared" si="24"/>
        <v>42.31111111111111</v>
      </c>
      <c r="AQ85" s="48">
        <f t="shared" si="22"/>
        <v>-9.31111111111111</v>
      </c>
      <c r="AR85" s="47">
        <v>1</v>
      </c>
      <c r="AS85" s="47">
        <v>8</v>
      </c>
      <c r="AT85" s="47">
        <v>22</v>
      </c>
      <c r="AU85" s="36">
        <f t="shared" si="25"/>
        <v>30</v>
      </c>
      <c r="AV85" s="47">
        <v>68</v>
      </c>
      <c r="AW85" s="47">
        <v>224</v>
      </c>
      <c r="AX85" s="47">
        <v>9</v>
      </c>
      <c r="AY85" s="47">
        <v>6</v>
      </c>
      <c r="AZ85" s="47">
        <f t="shared" si="19"/>
        <v>15</v>
      </c>
      <c r="BA85" s="47">
        <v>27</v>
      </c>
      <c r="BB85" s="47">
        <v>0</v>
      </c>
    </row>
    <row r="86" spans="1:54" customFormat="1">
      <c r="A86" s="7">
        <v>29</v>
      </c>
      <c r="B86" s="7">
        <v>1</v>
      </c>
      <c r="C86" s="34">
        <v>9</v>
      </c>
      <c r="D86" s="6">
        <v>11</v>
      </c>
      <c r="E86" s="7">
        <v>1</v>
      </c>
      <c r="F86" s="7">
        <v>2</v>
      </c>
      <c r="G86" s="7">
        <v>100000</v>
      </c>
      <c r="H86" s="7">
        <v>2</v>
      </c>
      <c r="I86" s="5">
        <v>25</v>
      </c>
      <c r="J86" s="5">
        <v>0</v>
      </c>
      <c r="K86" s="5">
        <v>0</v>
      </c>
      <c r="L86" s="72">
        <f t="shared" si="27"/>
        <v>2.1875</v>
      </c>
      <c r="M86" s="38">
        <v>35</v>
      </c>
      <c r="N86" s="18">
        <v>88.125</v>
      </c>
      <c r="O86" s="4">
        <v>89.048367999999996</v>
      </c>
      <c r="P86" s="4">
        <v>96.172285000000002</v>
      </c>
      <c r="Q86" s="4">
        <v>0</v>
      </c>
      <c r="R86" s="4">
        <v>1.9881880000000001</v>
      </c>
      <c r="S86" s="33">
        <v>1.229104</v>
      </c>
      <c r="T86" s="33">
        <v>1.7710379999999999</v>
      </c>
      <c r="U86" s="32">
        <v>-4.8899999999999997</v>
      </c>
      <c r="V86" s="33">
        <v>-2.0561950000000002</v>
      </c>
      <c r="W86" s="47">
        <v>31</v>
      </c>
      <c r="X86" s="47">
        <v>22</v>
      </c>
      <c r="Y86" s="47">
        <v>11</v>
      </c>
      <c r="Z86" s="47">
        <v>9</v>
      </c>
      <c r="AA86" s="47">
        <v>21</v>
      </c>
      <c r="AB86" s="47">
        <v>23</v>
      </c>
      <c r="AC86" s="47">
        <v>13</v>
      </c>
      <c r="AD86" s="47">
        <v>6</v>
      </c>
      <c r="AE86" s="47">
        <v>8</v>
      </c>
      <c r="AF86" s="47">
        <v>9</v>
      </c>
      <c r="AG86" s="47">
        <f>SUM(AD86:AF86)</f>
        <v>23</v>
      </c>
      <c r="AH86" s="47">
        <v>11</v>
      </c>
      <c r="AI86" s="47">
        <v>11</v>
      </c>
      <c r="AJ86" s="47">
        <v>0</v>
      </c>
      <c r="AK86" s="47">
        <v>0</v>
      </c>
      <c r="AL86" s="47">
        <f t="shared" si="7"/>
        <v>0</v>
      </c>
      <c r="AM86" s="47">
        <v>87</v>
      </c>
      <c r="AN86" s="47">
        <v>49</v>
      </c>
      <c r="AO86" s="47">
        <v>8</v>
      </c>
      <c r="AP86" s="48">
        <f t="shared" si="24"/>
        <v>31.345588235294116</v>
      </c>
      <c r="AQ86" s="48">
        <f t="shared" si="22"/>
        <v>-23.345588235294116</v>
      </c>
      <c r="AR86" s="47">
        <v>2</v>
      </c>
      <c r="AS86" s="47">
        <v>9</v>
      </c>
      <c r="AT86" s="47">
        <v>22</v>
      </c>
      <c r="AU86" s="36">
        <f t="shared" si="25"/>
        <v>31</v>
      </c>
      <c r="AV86" s="47">
        <v>89</v>
      </c>
      <c r="AW86" s="47">
        <v>193</v>
      </c>
      <c r="AX86" s="47">
        <v>8</v>
      </c>
      <c r="AY86" s="47">
        <v>6</v>
      </c>
      <c r="AZ86" s="47">
        <f t="shared" si="19"/>
        <v>14</v>
      </c>
      <c r="BA86" s="47">
        <v>29</v>
      </c>
      <c r="BB86" s="47">
        <v>3</v>
      </c>
    </row>
    <row r="87" spans="1:54" customFormat="1">
      <c r="A87" s="7">
        <v>33</v>
      </c>
      <c r="B87" s="7">
        <v>1</v>
      </c>
      <c r="C87" s="34">
        <v>13</v>
      </c>
      <c r="D87" s="6">
        <v>5</v>
      </c>
      <c r="E87" s="7">
        <v>1</v>
      </c>
      <c r="F87" s="7">
        <v>2</v>
      </c>
      <c r="G87" s="7">
        <v>850000</v>
      </c>
      <c r="H87" s="7">
        <v>2</v>
      </c>
      <c r="I87" s="5">
        <v>23</v>
      </c>
      <c r="J87" s="5">
        <v>0</v>
      </c>
      <c r="K87" s="5">
        <v>1</v>
      </c>
      <c r="L87" s="72">
        <f t="shared" si="27"/>
        <v>3</v>
      </c>
      <c r="M87" s="38">
        <v>48</v>
      </c>
      <c r="N87" s="18">
        <v>75.5625</v>
      </c>
      <c r="O87" s="4">
        <v>45.654003000000003</v>
      </c>
      <c r="P87" s="4">
        <v>99.419865000000001</v>
      </c>
      <c r="Q87" s="4">
        <v>39.85</v>
      </c>
      <c r="R87" s="4">
        <v>19.006779000000002</v>
      </c>
      <c r="S87" s="33">
        <v>-0.109154</v>
      </c>
      <c r="T87" s="33">
        <v>2.524003</v>
      </c>
      <c r="U87" s="32">
        <v>-0.26</v>
      </c>
      <c r="V87" s="33">
        <v>-0.87764699999999995</v>
      </c>
      <c r="W87" s="47">
        <v>32</v>
      </c>
      <c r="X87" s="47">
        <v>27</v>
      </c>
      <c r="Y87" s="47">
        <v>20</v>
      </c>
      <c r="Z87" s="47">
        <v>13</v>
      </c>
      <c r="AA87" s="47">
        <v>22</v>
      </c>
      <c r="AB87" s="47">
        <v>23</v>
      </c>
      <c r="AC87" s="47">
        <v>16</v>
      </c>
      <c r="AD87" s="47">
        <v>4</v>
      </c>
      <c r="AE87" s="47">
        <v>5</v>
      </c>
      <c r="AF87" s="47">
        <v>11</v>
      </c>
      <c r="AG87" s="47">
        <f>SUM(AD87:AF87)</f>
        <v>20</v>
      </c>
      <c r="AH87" s="47">
        <v>9</v>
      </c>
      <c r="AI87" s="47">
        <v>11</v>
      </c>
      <c r="AJ87" s="47">
        <v>1</v>
      </c>
      <c r="AK87" s="47">
        <v>0</v>
      </c>
      <c r="AL87" s="47">
        <f t="shared" si="7"/>
        <v>1</v>
      </c>
      <c r="AM87" s="47">
        <v>104</v>
      </c>
      <c r="AN87" s="47">
        <v>81</v>
      </c>
      <c r="AO87" s="47">
        <v>45</v>
      </c>
      <c r="AP87" s="48">
        <f t="shared" si="24"/>
        <v>45.535135135135135</v>
      </c>
      <c r="AQ87" s="48">
        <f t="shared" si="22"/>
        <v>-0.53513513513513544</v>
      </c>
      <c r="AR87" s="47">
        <v>5</v>
      </c>
      <c r="AS87" s="47">
        <v>2</v>
      </c>
      <c r="AT87" s="47">
        <v>11</v>
      </c>
      <c r="AU87" s="36">
        <f t="shared" si="25"/>
        <v>13</v>
      </c>
      <c r="AV87" s="47">
        <v>78</v>
      </c>
      <c r="AW87" s="47">
        <v>115</v>
      </c>
      <c r="AX87" s="47">
        <v>8</v>
      </c>
      <c r="AY87" s="47">
        <v>9</v>
      </c>
      <c r="AZ87" s="47">
        <f t="shared" si="19"/>
        <v>17</v>
      </c>
      <c r="BA87" s="47">
        <v>58</v>
      </c>
      <c r="BB87" s="47">
        <v>0</v>
      </c>
    </row>
    <row r="88" spans="1:54" customFormat="1">
      <c r="A88" s="7">
        <v>25</v>
      </c>
      <c r="B88" s="7">
        <v>2</v>
      </c>
      <c r="C88" s="34">
        <v>11</v>
      </c>
      <c r="D88" s="6">
        <v>1</v>
      </c>
      <c r="E88" s="7">
        <v>1</v>
      </c>
      <c r="F88" s="7">
        <v>2</v>
      </c>
      <c r="G88" s="7">
        <v>100000</v>
      </c>
      <c r="H88" s="7">
        <v>1</v>
      </c>
      <c r="I88" s="5">
        <v>26</v>
      </c>
      <c r="J88" s="5">
        <v>0</v>
      </c>
      <c r="K88" s="5">
        <v>0</v>
      </c>
      <c r="L88" s="72">
        <f t="shared" si="27"/>
        <v>2.125</v>
      </c>
      <c r="M88" s="38">
        <v>34</v>
      </c>
      <c r="N88" s="18">
        <v>57.416666666666671</v>
      </c>
      <c r="O88" s="4">
        <v>30.182386999999999</v>
      </c>
      <c r="P88" s="4">
        <v>9.8184290000000001</v>
      </c>
      <c r="Q88" s="4">
        <v>0</v>
      </c>
      <c r="R88" s="4">
        <v>19.315656000000001</v>
      </c>
      <c r="S88" s="33">
        <v>-0.51916200000000001</v>
      </c>
      <c r="T88" s="33">
        <v>-1.2919670000000001</v>
      </c>
      <c r="U88" s="32">
        <v>-5.42</v>
      </c>
      <c r="V88" s="33">
        <v>-0.86632299999999995</v>
      </c>
      <c r="W88" s="47">
        <v>34</v>
      </c>
      <c r="X88" s="47">
        <v>14</v>
      </c>
      <c r="Y88" s="47">
        <v>5</v>
      </c>
      <c r="Z88" s="47">
        <v>5</v>
      </c>
      <c r="AA88" s="47">
        <v>7</v>
      </c>
      <c r="AB88" s="47">
        <v>14</v>
      </c>
      <c r="AC88" s="47">
        <v>14</v>
      </c>
      <c r="AD88" s="47">
        <v>6</v>
      </c>
      <c r="AE88" s="47">
        <v>5</v>
      </c>
      <c r="AF88" s="47">
        <v>7</v>
      </c>
      <c r="AG88" s="47">
        <f>SUM(AD88:AF88)</f>
        <v>18</v>
      </c>
      <c r="AH88" s="47">
        <v>7</v>
      </c>
      <c r="AI88" s="47">
        <v>10</v>
      </c>
      <c r="AJ88" s="47">
        <v>0</v>
      </c>
      <c r="AK88" s="47">
        <v>0</v>
      </c>
      <c r="AL88" s="47">
        <f t="shared" si="7"/>
        <v>0</v>
      </c>
      <c r="AM88" s="47">
        <v>81</v>
      </c>
      <c r="AN88" s="47">
        <v>65</v>
      </c>
      <c r="AO88" s="47">
        <v>17</v>
      </c>
      <c r="AP88" s="48">
        <f t="shared" si="24"/>
        <v>36.061643835616437</v>
      </c>
      <c r="AQ88" s="48">
        <f t="shared" si="22"/>
        <v>-19.061643835616437</v>
      </c>
      <c r="AR88" s="47">
        <v>1</v>
      </c>
      <c r="AS88" s="47">
        <v>10</v>
      </c>
      <c r="AT88" s="47">
        <v>24</v>
      </c>
      <c r="AU88" s="36">
        <f t="shared" si="25"/>
        <v>34</v>
      </c>
      <c r="AV88" s="47">
        <v>57</v>
      </c>
      <c r="AW88" s="47">
        <v>137</v>
      </c>
      <c r="AX88" s="47">
        <v>8</v>
      </c>
      <c r="AY88" s="47">
        <v>8</v>
      </c>
      <c r="AZ88" s="47">
        <f t="shared" si="19"/>
        <v>16</v>
      </c>
      <c r="BA88" s="47">
        <v>30</v>
      </c>
      <c r="BB88" s="47">
        <v>1</v>
      </c>
    </row>
    <row r="89" spans="1:54" customFormat="1">
      <c r="A89" s="7">
        <v>22</v>
      </c>
      <c r="B89" s="7">
        <v>1</v>
      </c>
      <c r="C89" s="34">
        <v>8</v>
      </c>
      <c r="D89" s="6">
        <v>1</v>
      </c>
      <c r="E89" s="7">
        <v>1</v>
      </c>
      <c r="F89" s="7">
        <v>2</v>
      </c>
      <c r="G89" s="7">
        <v>120000</v>
      </c>
      <c r="H89" s="7">
        <v>2</v>
      </c>
      <c r="I89" s="5">
        <v>25</v>
      </c>
      <c r="J89" s="5">
        <v>0</v>
      </c>
      <c r="K89" s="5">
        <v>0</v>
      </c>
      <c r="L89" s="72">
        <f t="shared" si="27"/>
        <v>2.3125</v>
      </c>
      <c r="M89" s="38">
        <v>37</v>
      </c>
      <c r="N89" s="18">
        <v>92.333333333333343</v>
      </c>
      <c r="O89" s="4">
        <v>4.98414</v>
      </c>
      <c r="P89" s="4">
        <v>17.033252000000001</v>
      </c>
      <c r="Q89" s="4">
        <v>17.850000000000001</v>
      </c>
      <c r="R89" s="4">
        <v>7.0116019999999999</v>
      </c>
      <c r="S89" s="33">
        <v>-1.646393</v>
      </c>
      <c r="T89" s="33">
        <v>-0.95285200000000003</v>
      </c>
      <c r="U89" s="32">
        <v>-0.92</v>
      </c>
      <c r="V89" s="33">
        <v>-1.474928</v>
      </c>
      <c r="W89" s="47">
        <v>30</v>
      </c>
      <c r="X89" s="47">
        <v>22</v>
      </c>
      <c r="Y89" s="47">
        <v>8</v>
      </c>
      <c r="Z89" s="47">
        <v>10</v>
      </c>
      <c r="AA89" s="47">
        <v>10</v>
      </c>
      <c r="AB89" s="47">
        <v>11</v>
      </c>
      <c r="AC89" s="47">
        <v>12</v>
      </c>
      <c r="AD89" s="47">
        <v>3</v>
      </c>
      <c r="AE89" s="47">
        <v>6</v>
      </c>
      <c r="AF89" s="47">
        <v>5</v>
      </c>
      <c r="AG89" s="47">
        <f>SUM(AD89:AF89)</f>
        <v>14</v>
      </c>
      <c r="AH89" s="47">
        <v>2</v>
      </c>
      <c r="AI89" s="47">
        <v>12</v>
      </c>
      <c r="AJ89" s="47">
        <v>1</v>
      </c>
      <c r="AK89" s="47">
        <v>0</v>
      </c>
      <c r="AL89" s="47">
        <f t="shared" si="7"/>
        <v>1</v>
      </c>
      <c r="AM89" s="47">
        <v>90</v>
      </c>
      <c r="AN89" s="47">
        <v>69</v>
      </c>
      <c r="AO89" s="47">
        <v>40</v>
      </c>
      <c r="AP89" s="48">
        <f t="shared" si="24"/>
        <v>39.056603773584904</v>
      </c>
      <c r="AQ89" s="48">
        <f t="shared" si="22"/>
        <v>0.94339622641509635</v>
      </c>
      <c r="AR89" s="47">
        <v>2</v>
      </c>
      <c r="AS89" s="47">
        <v>4</v>
      </c>
      <c r="AT89" s="47">
        <v>19</v>
      </c>
      <c r="AU89" s="36">
        <f t="shared" si="25"/>
        <v>23</v>
      </c>
      <c r="AV89" s="47">
        <v>71</v>
      </c>
      <c r="AW89" s="47">
        <v>124</v>
      </c>
      <c r="AX89" s="47">
        <v>4</v>
      </c>
      <c r="AY89" s="47">
        <v>7</v>
      </c>
      <c r="AZ89" s="47">
        <f t="shared" si="19"/>
        <v>11</v>
      </c>
      <c r="BA89" s="47">
        <v>28</v>
      </c>
      <c r="BB89" s="47">
        <v>0</v>
      </c>
    </row>
    <row r="90" spans="1:54">
      <c r="J90" s="15"/>
      <c r="L90" s="17">
        <f>MEDIAN(L2:L89)</f>
        <v>2.5625</v>
      </c>
      <c r="M90" s="17">
        <f>MEDIAN(M2:M89)</f>
        <v>41</v>
      </c>
      <c r="S90" s="31"/>
      <c r="T90" s="31"/>
      <c r="U90" s="31"/>
      <c r="V90" s="31"/>
    </row>
    <row r="91" spans="1:54">
      <c r="J91" s="14"/>
      <c r="L91" s="17">
        <f>AVERAGE(L2:L89)</f>
        <v>2.4765625</v>
      </c>
      <c r="M91" s="17">
        <f>AVERAGE(M2:M89)</f>
        <v>39.625</v>
      </c>
      <c r="S91" s="31"/>
      <c r="T91" s="31"/>
      <c r="U91" s="31"/>
      <c r="V91" s="31"/>
    </row>
    <row r="92" spans="1:54">
      <c r="J92" s="14"/>
      <c r="L92" s="17">
        <f>MIN(L2:L89)</f>
        <v>1.0625</v>
      </c>
      <c r="M92" s="17">
        <f>MIN(M2:M89)</f>
        <v>17</v>
      </c>
    </row>
    <row r="93" spans="1:54">
      <c r="J93" s="14"/>
      <c r="K93" s="74">
        <v>0.25</v>
      </c>
      <c r="L93" s="17">
        <f>MAX(L2:L89)</f>
        <v>3.625</v>
      </c>
      <c r="M93" s="17">
        <f>MAX(M2:M89)</f>
        <v>58</v>
      </c>
      <c r="S93" s="31"/>
      <c r="T93" s="31"/>
      <c r="U93" s="31"/>
      <c r="V93" s="31"/>
    </row>
    <row r="94" spans="1:54">
      <c r="K94" s="74">
        <v>0.25</v>
      </c>
      <c r="L94" s="17">
        <f>L93-L92</f>
        <v>2.5625</v>
      </c>
      <c r="M94" s="17">
        <f>M93-M92</f>
        <v>41</v>
      </c>
    </row>
    <row r="95" spans="1:54">
      <c r="K95" s="74">
        <v>0.25</v>
      </c>
      <c r="L95" s="35">
        <f>_xlfn.PERCENTILE.INC(L$2:L$89,0.25)</f>
        <v>1.984375</v>
      </c>
      <c r="M95" s="35">
        <f>_xlfn.PERCENTILE.INC(M2:M89,0.25)</f>
        <v>31.75</v>
      </c>
    </row>
    <row r="96" spans="1:54">
      <c r="K96" s="74">
        <v>0.25</v>
      </c>
      <c r="L96" s="35">
        <f>_xlfn.PERCENTILE.INC(L$2:L$89,0.75)</f>
        <v>2.9375</v>
      </c>
      <c r="M96" s="35">
        <f>_xlfn.PERCENTILE.INC(M$2:M$89,0.75)</f>
        <v>47</v>
      </c>
    </row>
    <row r="97" spans="12:31">
      <c r="L97" s="14"/>
    </row>
    <row r="99" spans="12:31"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5"/>
    </row>
    <row r="100" spans="12:31">
      <c r="L100" s="25"/>
      <c r="M100" s="78"/>
      <c r="N100" s="25"/>
      <c r="O100" s="63"/>
      <c r="P100" s="63"/>
      <c r="Q100" s="63"/>
      <c r="R100" s="63"/>
      <c r="S100" s="25"/>
      <c r="T100" s="25"/>
      <c r="U100" s="25"/>
      <c r="V100" s="25"/>
      <c r="W100" s="73"/>
      <c r="X100" s="73"/>
      <c r="Y100" s="63"/>
      <c r="Z100" s="63"/>
      <c r="AA100" s="63"/>
      <c r="AB100" s="63"/>
      <c r="AC100" s="63"/>
      <c r="AD100" s="73"/>
      <c r="AE100" s="76">
        <v>41</v>
      </c>
    </row>
    <row r="101" spans="12:31">
      <c r="L101" s="25"/>
      <c r="M101" s="78"/>
      <c r="N101" s="25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</row>
  </sheetData>
  <phoneticPr fontId="13" type="noConversion"/>
  <dataValidations disablePrompts="1" count="5">
    <dataValidation type="whole" allowBlank="1" showInputMessage="1" showErrorMessage="1" sqref="BA2:BA7 BA78:BA86 BA59:BA62" xr:uid="{00000000-0002-0000-0300-000000000000}">
      <formula1>0</formula1>
      <formula2>110</formula2>
    </dataValidation>
    <dataValidation type="whole" allowBlank="1" showInputMessage="1" showErrorMessage="1" sqref="AX2:AY7 AX78:AY86 AX59:AY62" xr:uid="{00000000-0002-0000-0300-000001000000}">
      <formula1>0</formula1>
      <formula2>10</formula2>
    </dataValidation>
    <dataValidation type="whole" allowBlank="1" showInputMessage="1" showErrorMessage="1" sqref="AR59:AR62 AR2:AR7 AR78:AR86" xr:uid="{00000000-0002-0000-0300-000002000000}">
      <formula1>0</formula1>
      <formula2>6</formula2>
    </dataValidation>
    <dataValidation type="whole" allowBlank="1" showInputMessage="1" showErrorMessage="1" sqref="AH2:AI7 AD2:AF7 AD78:AF86 AH78:AI86 AD59:AF62 AH59:AI62" xr:uid="{00000000-0002-0000-0300-000003000000}">
      <formula1>0</formula1>
      <formula2>12</formula2>
    </dataValidation>
    <dataValidation type="whole" allowBlank="1" showInputMessage="1" showErrorMessage="1" sqref="W2:X7 W35:X37 W39:X39 W78:X86 W59:X62 W27:X33" xr:uid="{00000000-0002-0000-0300-000004000000}">
      <formula1>0</formula1>
      <formula2>36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0"/>
  <sheetViews>
    <sheetView workbookViewId="0">
      <selection activeCell="N36" sqref="N36"/>
    </sheetView>
  </sheetViews>
  <sheetFormatPr baseColWidth="10" defaultRowHeight="15"/>
  <cols>
    <col min="3" max="3" width="11.42578125" customWidth="1"/>
    <col min="14" max="14" width="18.5703125" customWidth="1"/>
  </cols>
  <sheetData>
    <row r="1" spans="1:15">
      <c r="A1" s="288" t="s">
        <v>153</v>
      </c>
      <c r="B1" s="288"/>
      <c r="C1" s="288"/>
      <c r="D1" s="288"/>
      <c r="E1" s="288"/>
      <c r="F1" s="288"/>
      <c r="G1" s="288"/>
      <c r="H1" s="288"/>
      <c r="I1" s="288"/>
      <c r="J1" s="288"/>
      <c r="K1" s="169"/>
    </row>
    <row r="2" spans="1:15">
      <c r="A2" s="289" t="s">
        <v>123</v>
      </c>
      <c r="B2" s="290"/>
      <c r="C2" s="290"/>
      <c r="D2" s="290"/>
      <c r="E2" s="290"/>
      <c r="F2" s="290"/>
      <c r="G2" s="290"/>
      <c r="H2" s="290"/>
      <c r="I2" s="290"/>
      <c r="J2" s="290"/>
      <c r="K2" s="169"/>
    </row>
    <row r="3" spans="1:15">
      <c r="A3" s="291" t="s">
        <v>1</v>
      </c>
      <c r="B3" s="291"/>
      <c r="C3" s="293" t="s">
        <v>155</v>
      </c>
      <c r="D3" s="295" t="s">
        <v>156</v>
      </c>
      <c r="E3" s="295" t="s">
        <v>157</v>
      </c>
      <c r="F3" s="295" t="s">
        <v>158</v>
      </c>
      <c r="G3" s="295" t="s">
        <v>159</v>
      </c>
      <c r="H3" s="295"/>
      <c r="I3" s="295" t="s">
        <v>160</v>
      </c>
      <c r="J3" s="297" t="s">
        <v>161</v>
      </c>
      <c r="K3" s="169"/>
    </row>
    <row r="4" spans="1:15" ht="24.75">
      <c r="A4" s="292"/>
      <c r="B4" s="292"/>
      <c r="C4" s="294"/>
      <c r="D4" s="296"/>
      <c r="E4" s="296"/>
      <c r="F4" s="296"/>
      <c r="G4" s="170" t="s">
        <v>162</v>
      </c>
      <c r="H4" s="170" t="s">
        <v>163</v>
      </c>
      <c r="I4" s="296"/>
      <c r="J4" s="298"/>
      <c r="K4" s="169"/>
      <c r="L4" s="288" t="s">
        <v>329</v>
      </c>
      <c r="M4" s="288"/>
      <c r="N4" s="288"/>
      <c r="O4" s="169"/>
    </row>
    <row r="5" spans="1:15" ht="24">
      <c r="A5" s="299" t="s">
        <v>9</v>
      </c>
      <c r="B5" s="171" t="s">
        <v>172</v>
      </c>
      <c r="C5" s="172">
        <v>8</v>
      </c>
      <c r="D5" s="173">
        <v>44.25</v>
      </c>
      <c r="E5" s="174">
        <v>7.8330800364315722</v>
      </c>
      <c r="F5" s="174">
        <v>2.7694120056688667</v>
      </c>
      <c r="G5" s="173">
        <v>37.701381208743186</v>
      </c>
      <c r="H5" s="173">
        <v>50.798618791256814</v>
      </c>
      <c r="I5" s="175">
        <v>32</v>
      </c>
      <c r="J5" s="176">
        <v>55</v>
      </c>
      <c r="K5" s="169" t="s">
        <v>339</v>
      </c>
      <c r="L5" s="292" t="s">
        <v>1</v>
      </c>
      <c r="M5" s="292"/>
      <c r="N5" s="198" t="s">
        <v>123</v>
      </c>
      <c r="O5" s="169"/>
    </row>
    <row r="6" spans="1:15" ht="24">
      <c r="A6" s="300"/>
      <c r="B6" s="177" t="s">
        <v>173</v>
      </c>
      <c r="C6" s="178">
        <v>6</v>
      </c>
      <c r="D6" s="179">
        <v>38.333333333333336</v>
      </c>
      <c r="E6" s="180">
        <v>8.3106357558652917</v>
      </c>
      <c r="F6" s="180">
        <v>3.3928028399998595</v>
      </c>
      <c r="G6" s="179">
        <v>29.611855981006705</v>
      </c>
      <c r="H6" s="179">
        <v>47.054810685659966</v>
      </c>
      <c r="I6" s="181">
        <v>25</v>
      </c>
      <c r="J6" s="182">
        <v>49</v>
      </c>
      <c r="K6" s="169"/>
      <c r="L6" s="299" t="s">
        <v>9</v>
      </c>
      <c r="M6" s="171" t="s">
        <v>204</v>
      </c>
      <c r="N6" s="199">
        <v>8.9022213785318609</v>
      </c>
      <c r="O6" s="169"/>
    </row>
    <row r="7" spans="1:15" ht="24">
      <c r="A7" s="300"/>
      <c r="B7" s="177" t="s">
        <v>174</v>
      </c>
      <c r="C7" s="178">
        <v>7</v>
      </c>
      <c r="D7" s="179">
        <v>39</v>
      </c>
      <c r="E7" s="180">
        <v>6.831300510639732</v>
      </c>
      <c r="F7" s="180">
        <v>2.5819888974716112</v>
      </c>
      <c r="G7" s="179">
        <v>32.682100767252244</v>
      </c>
      <c r="H7" s="179">
        <v>45.317899232747756</v>
      </c>
      <c r="I7" s="181">
        <v>28</v>
      </c>
      <c r="J7" s="182">
        <v>47</v>
      </c>
      <c r="K7" s="169"/>
      <c r="L7" s="300"/>
      <c r="M7" s="177" t="s">
        <v>205</v>
      </c>
      <c r="N7" s="200">
        <v>7</v>
      </c>
      <c r="O7" s="169"/>
    </row>
    <row r="8" spans="1:15" ht="24">
      <c r="A8" s="300"/>
      <c r="B8" s="177" t="s">
        <v>175</v>
      </c>
      <c r="C8" s="178">
        <v>12</v>
      </c>
      <c r="D8" s="179">
        <v>36.416666666666664</v>
      </c>
      <c r="E8" s="180">
        <v>10.112623374533015</v>
      </c>
      <c r="F8" s="180">
        <v>2.9192629137499693</v>
      </c>
      <c r="G8" s="179">
        <v>29.991412315097101</v>
      </c>
      <c r="H8" s="179">
        <v>42.841921018236228</v>
      </c>
      <c r="I8" s="181">
        <v>16</v>
      </c>
      <c r="J8" s="182">
        <v>52</v>
      </c>
      <c r="K8" s="169"/>
      <c r="L8" s="301"/>
      <c r="M8" s="184" t="s">
        <v>206</v>
      </c>
      <c r="N8" s="201">
        <v>0.25975262604159899</v>
      </c>
      <c r="O8" s="169"/>
    </row>
    <row r="9" spans="1:15" ht="24">
      <c r="A9" s="300"/>
      <c r="B9" s="177" t="s">
        <v>176</v>
      </c>
      <c r="C9" s="178">
        <v>2</v>
      </c>
      <c r="D9" s="179">
        <v>44.5</v>
      </c>
      <c r="E9" s="180">
        <v>12.020815280171307</v>
      </c>
      <c r="F9" s="180">
        <v>8.4999999999999982</v>
      </c>
      <c r="G9" s="179">
        <v>-63.502740257485115</v>
      </c>
      <c r="H9" s="179">
        <v>152.50274025748513</v>
      </c>
      <c r="I9" s="181">
        <v>36</v>
      </c>
      <c r="J9" s="182">
        <v>53</v>
      </c>
      <c r="K9" s="169"/>
      <c r="L9" s="301" t="s">
        <v>10</v>
      </c>
      <c r="M9" s="177" t="s">
        <v>204</v>
      </c>
      <c r="N9" s="202">
        <v>15.874832268460294</v>
      </c>
      <c r="O9" s="169"/>
    </row>
    <row r="10" spans="1:15" ht="24">
      <c r="A10" s="300"/>
      <c r="B10" s="177" t="s">
        <v>177</v>
      </c>
      <c r="C10" s="178">
        <v>4</v>
      </c>
      <c r="D10" s="179">
        <v>32.75</v>
      </c>
      <c r="E10" s="180">
        <v>8.1802607945386843</v>
      </c>
      <c r="F10" s="180">
        <v>4.0901303972693421</v>
      </c>
      <c r="G10" s="179">
        <v>19.733379629082204</v>
      </c>
      <c r="H10" s="179">
        <v>45.766620370917792</v>
      </c>
      <c r="I10" s="181">
        <v>28</v>
      </c>
      <c r="J10" s="182">
        <v>45</v>
      </c>
      <c r="K10" s="169"/>
      <c r="L10" s="300"/>
      <c r="M10" s="177" t="s">
        <v>205</v>
      </c>
      <c r="N10" s="200">
        <v>7</v>
      </c>
      <c r="O10" s="169"/>
    </row>
    <row r="11" spans="1:15" ht="24">
      <c r="A11" s="300"/>
      <c r="B11" s="177" t="s">
        <v>178</v>
      </c>
      <c r="C11" s="178">
        <v>1</v>
      </c>
      <c r="D11" s="179">
        <v>36</v>
      </c>
      <c r="E11" s="183"/>
      <c r="F11" s="183"/>
      <c r="G11" s="183"/>
      <c r="H11" s="183"/>
      <c r="I11" s="181">
        <v>36</v>
      </c>
      <c r="J11" s="182">
        <v>36</v>
      </c>
      <c r="K11" s="169"/>
      <c r="L11" s="302"/>
      <c r="M11" s="190" t="s">
        <v>206</v>
      </c>
      <c r="N11" s="203">
        <v>2.6284838954411364E-2</v>
      </c>
      <c r="O11" s="169"/>
    </row>
    <row r="12" spans="1:15" ht="24">
      <c r="A12" s="300"/>
      <c r="B12" s="177" t="s">
        <v>179</v>
      </c>
      <c r="C12" s="178">
        <v>2</v>
      </c>
      <c r="D12" s="179">
        <v>29</v>
      </c>
      <c r="E12" s="180">
        <v>5.6568542494923806</v>
      </c>
      <c r="F12" s="180">
        <v>4</v>
      </c>
      <c r="G12" s="179">
        <v>-21.82481894469889</v>
      </c>
      <c r="H12" s="179">
        <v>79.82481894469889</v>
      </c>
      <c r="I12" s="181">
        <v>25</v>
      </c>
      <c r="J12" s="182">
        <v>33</v>
      </c>
      <c r="K12" s="169"/>
      <c r="L12" s="318" t="s">
        <v>327</v>
      </c>
      <c r="M12" s="318"/>
      <c r="N12" s="318"/>
      <c r="O12" s="169"/>
    </row>
    <row r="13" spans="1:15">
      <c r="A13" s="301"/>
      <c r="B13" s="184" t="s">
        <v>32</v>
      </c>
      <c r="C13" s="185">
        <v>42</v>
      </c>
      <c r="D13" s="186">
        <v>38.285714285714285</v>
      </c>
      <c r="E13" s="187">
        <v>8.9232109343997319</v>
      </c>
      <c r="F13" s="187">
        <v>1.3768813395962469</v>
      </c>
      <c r="G13" s="186">
        <v>35.505046008963873</v>
      </c>
      <c r="H13" s="186">
        <v>41.066382562464696</v>
      </c>
      <c r="I13" s="188">
        <v>16</v>
      </c>
      <c r="J13" s="189">
        <v>55</v>
      </c>
      <c r="K13" s="169"/>
      <c r="L13" s="318" t="s">
        <v>331</v>
      </c>
      <c r="M13" s="318"/>
      <c r="N13" s="318"/>
      <c r="O13" s="169"/>
    </row>
    <row r="14" spans="1:15" ht="24">
      <c r="A14" s="301" t="s">
        <v>10</v>
      </c>
      <c r="B14" s="177" t="s">
        <v>172</v>
      </c>
      <c r="C14" s="178">
        <v>7</v>
      </c>
      <c r="D14" s="179">
        <v>41.428571428571431</v>
      </c>
      <c r="E14" s="180">
        <v>8.6959213208864554</v>
      </c>
      <c r="F14" s="180">
        <v>3.286749319378552</v>
      </c>
      <c r="G14" s="179">
        <v>33.386185567241725</v>
      </c>
      <c r="H14" s="179">
        <v>49.470957289901136</v>
      </c>
      <c r="I14" s="181">
        <v>27</v>
      </c>
      <c r="J14" s="182">
        <v>55</v>
      </c>
      <c r="K14" s="169"/>
    </row>
    <row r="15" spans="1:15" ht="24">
      <c r="A15" s="300"/>
      <c r="B15" s="177" t="s">
        <v>173</v>
      </c>
      <c r="C15" s="178">
        <v>8</v>
      </c>
      <c r="D15" s="179">
        <v>41.75</v>
      </c>
      <c r="E15" s="180">
        <v>11.183533814113881</v>
      </c>
      <c r="F15" s="180">
        <v>3.9539762987944895</v>
      </c>
      <c r="G15" s="179">
        <v>32.400331753647471</v>
      </c>
      <c r="H15" s="179">
        <v>51.099668246352529</v>
      </c>
      <c r="I15" s="181">
        <v>28</v>
      </c>
      <c r="J15" s="182">
        <v>57</v>
      </c>
      <c r="K15" s="169"/>
    </row>
    <row r="16" spans="1:15" ht="24">
      <c r="A16" s="300"/>
      <c r="B16" s="177" t="s">
        <v>174</v>
      </c>
      <c r="C16" s="178">
        <v>6</v>
      </c>
      <c r="D16" s="179">
        <v>41.5</v>
      </c>
      <c r="E16" s="180">
        <v>8.8487287222515754</v>
      </c>
      <c r="F16" s="180">
        <v>3.6124783736376891</v>
      </c>
      <c r="G16" s="179">
        <v>32.213828711174934</v>
      </c>
      <c r="H16" s="179">
        <v>50.786171288825066</v>
      </c>
      <c r="I16" s="181">
        <v>27</v>
      </c>
      <c r="J16" s="182">
        <v>51</v>
      </c>
      <c r="K16" s="169"/>
    </row>
    <row r="17" spans="1:15" ht="24">
      <c r="A17" s="300"/>
      <c r="B17" s="177" t="s">
        <v>175</v>
      </c>
      <c r="C17" s="178">
        <v>11</v>
      </c>
      <c r="D17" s="179">
        <v>44.545454545454547</v>
      </c>
      <c r="E17" s="180">
        <v>8.0667668413514519</v>
      </c>
      <c r="F17" s="180">
        <v>2.4322217167311955</v>
      </c>
      <c r="G17" s="179">
        <v>39.126126841761014</v>
      </c>
      <c r="H17" s="179">
        <v>49.96478224914808</v>
      </c>
      <c r="I17" s="181">
        <v>33</v>
      </c>
      <c r="J17" s="182">
        <v>57</v>
      </c>
      <c r="K17" s="169"/>
    </row>
    <row r="18" spans="1:15" ht="24">
      <c r="A18" s="300"/>
      <c r="B18" s="177" t="s">
        <v>176</v>
      </c>
      <c r="C18" s="178">
        <v>7</v>
      </c>
      <c r="D18" s="179">
        <v>35</v>
      </c>
      <c r="E18" s="180">
        <v>11.789826122551597</v>
      </c>
      <c r="F18" s="180">
        <v>4.4561354172806347</v>
      </c>
      <c r="G18" s="179">
        <v>24.096229437149638</v>
      </c>
      <c r="H18" s="179">
        <v>45.903770562850362</v>
      </c>
      <c r="I18" s="181">
        <v>22</v>
      </c>
      <c r="J18" s="182">
        <v>54</v>
      </c>
      <c r="K18" s="169"/>
    </row>
    <row r="19" spans="1:15" ht="24">
      <c r="A19" s="300"/>
      <c r="B19" s="177" t="s">
        <v>177</v>
      </c>
      <c r="C19" s="178">
        <v>2</v>
      </c>
      <c r="D19" s="179">
        <v>24.5</v>
      </c>
      <c r="E19" s="180">
        <v>6.3639610306789276</v>
      </c>
      <c r="F19" s="180">
        <v>4.5</v>
      </c>
      <c r="G19" s="179">
        <v>-32.677921312786253</v>
      </c>
      <c r="H19" s="179">
        <v>81.677921312786253</v>
      </c>
      <c r="I19" s="181">
        <v>20</v>
      </c>
      <c r="J19" s="182">
        <v>29</v>
      </c>
      <c r="K19" s="169"/>
    </row>
    <row r="20" spans="1:15" ht="24">
      <c r="A20" s="300"/>
      <c r="B20" s="177" t="s">
        <v>178</v>
      </c>
      <c r="C20" s="178">
        <v>4</v>
      </c>
      <c r="D20" s="179">
        <v>23.75</v>
      </c>
      <c r="E20" s="180">
        <v>4.7169905660283016</v>
      </c>
      <c r="F20" s="180">
        <v>2.3584952830141508</v>
      </c>
      <c r="G20" s="179">
        <v>16.244215400542913</v>
      </c>
      <c r="H20" s="179">
        <v>31.255784599457087</v>
      </c>
      <c r="I20" s="181">
        <v>17</v>
      </c>
      <c r="J20" s="182">
        <v>28</v>
      </c>
      <c r="K20" s="169"/>
    </row>
    <row r="21" spans="1:15" ht="24">
      <c r="A21" s="300"/>
      <c r="B21" s="177" t="s">
        <v>180</v>
      </c>
      <c r="C21" s="178">
        <v>1</v>
      </c>
      <c r="D21" s="179">
        <v>39</v>
      </c>
      <c r="E21" s="183"/>
      <c r="F21" s="183"/>
      <c r="G21" s="183"/>
      <c r="H21" s="183"/>
      <c r="I21" s="181">
        <v>39</v>
      </c>
      <c r="J21" s="182">
        <v>39</v>
      </c>
      <c r="K21" s="169"/>
    </row>
    <row r="22" spans="1:15">
      <c r="A22" s="302"/>
      <c r="B22" s="190" t="s">
        <v>32</v>
      </c>
      <c r="C22" s="191">
        <v>46</v>
      </c>
      <c r="D22" s="192">
        <v>38.934782608695649</v>
      </c>
      <c r="E22" s="193">
        <v>10.804118913971948</v>
      </c>
      <c r="F22" s="193">
        <v>1.5929804272061467</v>
      </c>
      <c r="G22" s="192">
        <v>35.7263553318394</v>
      </c>
      <c r="H22" s="192">
        <v>42.143209885551897</v>
      </c>
      <c r="I22" s="194">
        <v>17</v>
      </c>
      <c r="J22" s="195">
        <v>57</v>
      </c>
      <c r="K22" s="169"/>
    </row>
    <row r="27" spans="1:15">
      <c r="A27" s="288" t="s">
        <v>153</v>
      </c>
      <c r="B27" s="288"/>
      <c r="C27" s="288"/>
      <c r="D27" s="288"/>
      <c r="E27" s="288"/>
      <c r="F27" s="288"/>
      <c r="G27" s="288"/>
      <c r="H27" s="288"/>
      <c r="I27" s="288"/>
      <c r="J27" s="288"/>
      <c r="K27" s="169"/>
    </row>
    <row r="28" spans="1:15">
      <c r="A28" s="289" t="s">
        <v>123</v>
      </c>
      <c r="B28" s="290"/>
      <c r="C28" s="290"/>
      <c r="D28" s="290"/>
      <c r="E28" s="290"/>
      <c r="F28" s="290"/>
      <c r="G28" s="290"/>
      <c r="H28" s="290"/>
      <c r="I28" s="290"/>
      <c r="J28" s="290"/>
      <c r="K28" s="169"/>
    </row>
    <row r="29" spans="1:15">
      <c r="A29" s="291" t="s">
        <v>1</v>
      </c>
      <c r="B29" s="291"/>
      <c r="C29" s="293" t="s">
        <v>155</v>
      </c>
      <c r="D29" s="295" t="s">
        <v>156</v>
      </c>
      <c r="E29" s="295" t="s">
        <v>157</v>
      </c>
      <c r="F29" s="295" t="s">
        <v>158</v>
      </c>
      <c r="G29" s="295" t="s">
        <v>159</v>
      </c>
      <c r="H29" s="295"/>
      <c r="I29" s="295" t="s">
        <v>160</v>
      </c>
      <c r="J29" s="297" t="s">
        <v>161</v>
      </c>
      <c r="K29" s="169"/>
      <c r="L29" s="288" t="s">
        <v>329</v>
      </c>
      <c r="M29" s="288"/>
      <c r="N29" s="288"/>
      <c r="O29" s="169"/>
    </row>
    <row r="30" spans="1:15" ht="24.75">
      <c r="A30" s="292"/>
      <c r="B30" s="292"/>
      <c r="C30" s="294"/>
      <c r="D30" s="296"/>
      <c r="E30" s="296"/>
      <c r="F30" s="296"/>
      <c r="G30" s="170" t="s">
        <v>162</v>
      </c>
      <c r="H30" s="170" t="s">
        <v>163</v>
      </c>
      <c r="I30" s="296"/>
      <c r="J30" s="298"/>
      <c r="K30" s="169" t="s">
        <v>340</v>
      </c>
      <c r="L30" s="292" t="s">
        <v>1</v>
      </c>
      <c r="M30" s="292"/>
      <c r="N30" s="198" t="s">
        <v>123</v>
      </c>
      <c r="O30" s="169"/>
    </row>
    <row r="31" spans="1:15" ht="24">
      <c r="A31" s="299" t="s">
        <v>9</v>
      </c>
      <c r="B31" s="171" t="s">
        <v>167</v>
      </c>
      <c r="C31" s="172">
        <v>26</v>
      </c>
      <c r="D31" s="173">
        <v>36.92307692307692</v>
      </c>
      <c r="E31" s="174">
        <v>7.249403158456988</v>
      </c>
      <c r="F31" s="174">
        <v>1.4217249294951289</v>
      </c>
      <c r="G31" s="173">
        <v>33.994979619371456</v>
      </c>
      <c r="H31" s="173">
        <v>39.851174226782383</v>
      </c>
      <c r="I31" s="175">
        <v>25</v>
      </c>
      <c r="J31" s="176">
        <v>52</v>
      </c>
      <c r="K31" s="169"/>
      <c r="L31" s="299" t="s">
        <v>9</v>
      </c>
      <c r="M31" s="171" t="s">
        <v>204</v>
      </c>
      <c r="N31" s="199">
        <v>6.3663206905508964</v>
      </c>
      <c r="O31" s="169"/>
    </row>
    <row r="32" spans="1:15" ht="24">
      <c r="A32" s="300"/>
      <c r="B32" s="177" t="s">
        <v>168</v>
      </c>
      <c r="C32" s="178">
        <v>11</v>
      </c>
      <c r="D32" s="179">
        <v>37.81818181818182</v>
      </c>
      <c r="E32" s="180">
        <v>12.278584460907389</v>
      </c>
      <c r="F32" s="180">
        <v>3.7021325103198217</v>
      </c>
      <c r="G32" s="179">
        <v>29.569316536736746</v>
      </c>
      <c r="H32" s="179">
        <v>46.06704709962689</v>
      </c>
      <c r="I32" s="181">
        <v>16</v>
      </c>
      <c r="J32" s="182">
        <v>55</v>
      </c>
      <c r="K32" s="169"/>
      <c r="L32" s="300"/>
      <c r="M32" s="177" t="s">
        <v>205</v>
      </c>
      <c r="N32" s="200">
        <v>4</v>
      </c>
      <c r="O32" s="169"/>
    </row>
    <row r="33" spans="1:15" ht="24">
      <c r="A33" s="300"/>
      <c r="B33" s="177" t="s">
        <v>169</v>
      </c>
      <c r="C33" s="178">
        <v>3</v>
      </c>
      <c r="D33" s="179">
        <v>44</v>
      </c>
      <c r="E33" s="180">
        <v>1</v>
      </c>
      <c r="F33" s="180">
        <v>0.57735026918962584</v>
      </c>
      <c r="G33" s="179">
        <v>41.515862288249664</v>
      </c>
      <c r="H33" s="179">
        <v>46.484137711750336</v>
      </c>
      <c r="I33" s="181">
        <v>43</v>
      </c>
      <c r="J33" s="182">
        <v>45</v>
      </c>
      <c r="K33" s="169"/>
      <c r="L33" s="301"/>
      <c r="M33" s="184" t="s">
        <v>206</v>
      </c>
      <c r="N33" s="201">
        <v>0.17341055928698246</v>
      </c>
      <c r="O33" s="169"/>
    </row>
    <row r="34" spans="1:15" ht="24">
      <c r="A34" s="300"/>
      <c r="B34" s="177" t="s">
        <v>170</v>
      </c>
      <c r="C34" s="178">
        <v>1</v>
      </c>
      <c r="D34" s="179">
        <v>47</v>
      </c>
      <c r="E34" s="183"/>
      <c r="F34" s="183"/>
      <c r="G34" s="183"/>
      <c r="H34" s="183"/>
      <c r="I34" s="181">
        <v>47</v>
      </c>
      <c r="J34" s="182">
        <v>47</v>
      </c>
      <c r="K34" s="169"/>
      <c r="L34" s="301" t="s">
        <v>10</v>
      </c>
      <c r="M34" s="177" t="s">
        <v>204</v>
      </c>
      <c r="N34" s="202">
        <v>1.8172554347826086</v>
      </c>
      <c r="O34" s="169"/>
    </row>
    <row r="35" spans="1:15" ht="24">
      <c r="A35" s="300"/>
      <c r="B35" s="177" t="s">
        <v>171</v>
      </c>
      <c r="C35" s="178">
        <v>1</v>
      </c>
      <c r="D35" s="179">
        <v>53</v>
      </c>
      <c r="E35" s="183"/>
      <c r="F35" s="183"/>
      <c r="G35" s="183"/>
      <c r="H35" s="183"/>
      <c r="I35" s="181">
        <v>53</v>
      </c>
      <c r="J35" s="182">
        <v>53</v>
      </c>
      <c r="K35" s="169"/>
      <c r="L35" s="300"/>
      <c r="M35" s="177" t="s">
        <v>205</v>
      </c>
      <c r="N35" s="200">
        <v>2</v>
      </c>
      <c r="O35" s="169"/>
    </row>
    <row r="36" spans="1:15" ht="24">
      <c r="A36" s="301"/>
      <c r="B36" s="184" t="s">
        <v>32</v>
      </c>
      <c r="C36" s="185">
        <v>42</v>
      </c>
      <c r="D36" s="186">
        <v>38.285714285714285</v>
      </c>
      <c r="E36" s="187">
        <v>8.9232109343997319</v>
      </c>
      <c r="F36" s="187">
        <v>1.3768813395962469</v>
      </c>
      <c r="G36" s="186">
        <v>35.505046008963873</v>
      </c>
      <c r="H36" s="186">
        <v>41.066382562464696</v>
      </c>
      <c r="I36" s="188">
        <v>16</v>
      </c>
      <c r="J36" s="189">
        <v>55</v>
      </c>
      <c r="K36" s="169"/>
      <c r="L36" s="302"/>
      <c r="M36" s="190" t="s">
        <v>206</v>
      </c>
      <c r="N36" s="203">
        <v>0.40307698020795446</v>
      </c>
      <c r="O36" s="169"/>
    </row>
    <row r="37" spans="1:15" ht="24">
      <c r="A37" s="301" t="s">
        <v>10</v>
      </c>
      <c r="B37" s="177" t="s">
        <v>167</v>
      </c>
      <c r="C37" s="178">
        <v>36</v>
      </c>
      <c r="D37" s="179">
        <v>38.166666666666664</v>
      </c>
      <c r="E37" s="180">
        <v>9.9268754974995606</v>
      </c>
      <c r="F37" s="180">
        <v>1.6544792495832601</v>
      </c>
      <c r="G37" s="179">
        <v>34.807895224962436</v>
      </c>
      <c r="H37" s="179">
        <v>41.525438108370892</v>
      </c>
      <c r="I37" s="181">
        <v>17</v>
      </c>
      <c r="J37" s="182">
        <v>57</v>
      </c>
      <c r="K37" s="169"/>
      <c r="L37" s="318" t="s">
        <v>327</v>
      </c>
      <c r="M37" s="318"/>
      <c r="N37" s="318"/>
      <c r="O37" s="169"/>
    </row>
    <row r="38" spans="1:15" ht="24">
      <c r="A38" s="300"/>
      <c r="B38" s="177" t="s">
        <v>168</v>
      </c>
      <c r="C38" s="178">
        <v>8</v>
      </c>
      <c r="D38" s="179">
        <v>40.375</v>
      </c>
      <c r="E38" s="180">
        <v>15.249707257143376</v>
      </c>
      <c r="F38" s="180">
        <v>5.3915857063178931</v>
      </c>
      <c r="G38" s="179">
        <v>27.625925684299695</v>
      </c>
      <c r="H38" s="179">
        <v>53.124074315700305</v>
      </c>
      <c r="I38" s="181">
        <v>20</v>
      </c>
      <c r="J38" s="182">
        <v>57</v>
      </c>
      <c r="K38" s="169"/>
      <c r="L38" s="318" t="s">
        <v>328</v>
      </c>
      <c r="M38" s="318"/>
      <c r="N38" s="318"/>
      <c r="O38" s="169"/>
    </row>
    <row r="39" spans="1:15" ht="24">
      <c r="A39" s="300"/>
      <c r="B39" s="177" t="s">
        <v>169</v>
      </c>
      <c r="C39" s="178">
        <v>2</v>
      </c>
      <c r="D39" s="179">
        <v>47</v>
      </c>
      <c r="E39" s="180">
        <v>2.8284271247461903</v>
      </c>
      <c r="F39" s="180">
        <v>2</v>
      </c>
      <c r="G39" s="179">
        <v>21.587590527650555</v>
      </c>
      <c r="H39" s="179">
        <v>72.412409472349452</v>
      </c>
      <c r="I39" s="181">
        <v>45</v>
      </c>
      <c r="J39" s="182">
        <v>49</v>
      </c>
      <c r="K39" s="169"/>
    </row>
    <row r="40" spans="1:15">
      <c r="A40" s="302"/>
      <c r="B40" s="190" t="s">
        <v>32</v>
      </c>
      <c r="C40" s="191">
        <v>46</v>
      </c>
      <c r="D40" s="192">
        <v>38.934782608695649</v>
      </c>
      <c r="E40" s="193">
        <v>10.804118913971948</v>
      </c>
      <c r="F40" s="193">
        <v>1.5929804272061467</v>
      </c>
      <c r="G40" s="192">
        <v>35.7263553318394</v>
      </c>
      <c r="H40" s="192">
        <v>42.143209885551897</v>
      </c>
      <c r="I40" s="194">
        <v>17</v>
      </c>
      <c r="J40" s="195">
        <v>57</v>
      </c>
      <c r="K40" s="169"/>
    </row>
    <row r="42" spans="1:15">
      <c r="A42" s="288" t="s">
        <v>153</v>
      </c>
      <c r="B42" s="288"/>
      <c r="C42" s="288"/>
      <c r="D42" s="288"/>
      <c r="E42" s="288"/>
      <c r="F42" s="288"/>
      <c r="G42" s="288"/>
      <c r="H42" s="288"/>
      <c r="I42" s="288"/>
      <c r="J42" s="288"/>
      <c r="K42" s="169"/>
    </row>
    <row r="43" spans="1:15">
      <c r="A43" s="289" t="s">
        <v>123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169"/>
    </row>
    <row r="44" spans="1:15">
      <c r="A44" s="291" t="s">
        <v>1</v>
      </c>
      <c r="B44" s="291"/>
      <c r="C44" s="293" t="s">
        <v>155</v>
      </c>
      <c r="D44" s="295" t="s">
        <v>156</v>
      </c>
      <c r="E44" s="295" t="s">
        <v>157</v>
      </c>
      <c r="F44" s="295" t="s">
        <v>158</v>
      </c>
      <c r="G44" s="295" t="s">
        <v>159</v>
      </c>
      <c r="H44" s="295"/>
      <c r="I44" s="295" t="s">
        <v>160</v>
      </c>
      <c r="J44" s="297" t="s">
        <v>161</v>
      </c>
      <c r="K44" s="169"/>
    </row>
    <row r="45" spans="1:15" ht="24.75">
      <c r="A45" s="292"/>
      <c r="B45" s="292"/>
      <c r="C45" s="294"/>
      <c r="D45" s="296"/>
      <c r="E45" s="296"/>
      <c r="F45" s="296"/>
      <c r="G45" s="170" t="s">
        <v>162</v>
      </c>
      <c r="H45" s="170" t="s">
        <v>163</v>
      </c>
      <c r="I45" s="296"/>
      <c r="J45" s="298"/>
      <c r="K45" s="169"/>
      <c r="L45" s="288" t="s">
        <v>329</v>
      </c>
      <c r="M45" s="288"/>
      <c r="N45" s="288"/>
      <c r="O45" s="169"/>
    </row>
    <row r="46" spans="1:15" ht="24">
      <c r="A46" s="299" t="s">
        <v>9</v>
      </c>
      <c r="B46" s="171" t="s">
        <v>140</v>
      </c>
      <c r="C46" s="172">
        <v>5</v>
      </c>
      <c r="D46" s="173">
        <v>32.799999999999997</v>
      </c>
      <c r="E46" s="174">
        <v>8.3785440262613644</v>
      </c>
      <c r="F46" s="174">
        <v>3.7469987990390385</v>
      </c>
      <c r="G46" s="173">
        <v>22.396663525226042</v>
      </c>
      <c r="H46" s="173">
        <v>43.203336474773948</v>
      </c>
      <c r="I46" s="175">
        <v>25</v>
      </c>
      <c r="J46" s="176">
        <v>45</v>
      </c>
      <c r="K46" s="169" t="s">
        <v>341</v>
      </c>
      <c r="L46" s="292" t="s">
        <v>1</v>
      </c>
      <c r="M46" s="292"/>
      <c r="N46" s="198" t="s">
        <v>123</v>
      </c>
      <c r="O46" s="169"/>
    </row>
    <row r="47" spans="1:15" ht="24">
      <c r="A47" s="300"/>
      <c r="B47" s="177" t="s">
        <v>40</v>
      </c>
      <c r="C47" s="178">
        <v>12</v>
      </c>
      <c r="D47" s="179">
        <v>31.916666666666668</v>
      </c>
      <c r="E47" s="180">
        <v>5.0714590572829206</v>
      </c>
      <c r="F47" s="180">
        <v>1.4640041259532299</v>
      </c>
      <c r="G47" s="179">
        <v>28.694415311130676</v>
      </c>
      <c r="H47" s="179">
        <v>35.13891802220266</v>
      </c>
      <c r="I47" s="181">
        <v>25</v>
      </c>
      <c r="J47" s="182">
        <v>42</v>
      </c>
      <c r="K47" s="169"/>
      <c r="L47" s="299" t="s">
        <v>9</v>
      </c>
      <c r="M47" s="171" t="s">
        <v>204</v>
      </c>
      <c r="N47" s="199">
        <v>17.316333422198525</v>
      </c>
      <c r="O47" s="169"/>
    </row>
    <row r="48" spans="1:15">
      <c r="A48" s="300"/>
      <c r="B48" s="177" t="s">
        <v>41</v>
      </c>
      <c r="C48" s="178">
        <v>22</v>
      </c>
      <c r="D48" s="179">
        <v>41.636363636363633</v>
      </c>
      <c r="E48" s="180">
        <v>8.3924311395983722</v>
      </c>
      <c r="F48" s="180">
        <v>1.7892723309275049</v>
      </c>
      <c r="G48" s="179">
        <v>37.915368124978805</v>
      </c>
      <c r="H48" s="179">
        <v>45.357359147748461</v>
      </c>
      <c r="I48" s="181">
        <v>16</v>
      </c>
      <c r="J48" s="182">
        <v>55</v>
      </c>
      <c r="K48" s="169"/>
      <c r="L48" s="300"/>
      <c r="M48" s="177" t="s">
        <v>205</v>
      </c>
      <c r="N48" s="200">
        <v>3</v>
      </c>
      <c r="O48" s="169"/>
    </row>
    <row r="49" spans="1:15" ht="24">
      <c r="A49" s="300"/>
      <c r="B49" s="177" t="s">
        <v>42</v>
      </c>
      <c r="C49" s="178">
        <v>3</v>
      </c>
      <c r="D49" s="179">
        <v>48.333333333333336</v>
      </c>
      <c r="E49" s="180">
        <v>4.1633319989322652</v>
      </c>
      <c r="F49" s="180">
        <v>2.4037008503093262</v>
      </c>
      <c r="G49" s="179">
        <v>37.991043308248805</v>
      </c>
      <c r="H49" s="179">
        <v>58.675623358417866</v>
      </c>
      <c r="I49" s="181">
        <v>45</v>
      </c>
      <c r="J49" s="182">
        <v>53</v>
      </c>
      <c r="K49" s="169"/>
      <c r="L49" s="301"/>
      <c r="M49" s="184" t="s">
        <v>206</v>
      </c>
      <c r="N49" s="201">
        <v>6.0837745119783995E-4</v>
      </c>
      <c r="O49" s="169"/>
    </row>
    <row r="50" spans="1:15" ht="24">
      <c r="A50" s="301"/>
      <c r="B50" s="184" t="s">
        <v>32</v>
      </c>
      <c r="C50" s="185">
        <v>42</v>
      </c>
      <c r="D50" s="186">
        <v>38.285714285714285</v>
      </c>
      <c r="E50" s="187">
        <v>8.9232109343997319</v>
      </c>
      <c r="F50" s="187">
        <v>1.3768813395962469</v>
      </c>
      <c r="G50" s="186">
        <v>35.505046008963873</v>
      </c>
      <c r="H50" s="186">
        <v>41.066382562464696</v>
      </c>
      <c r="I50" s="188">
        <v>16</v>
      </c>
      <c r="J50" s="189">
        <v>55</v>
      </c>
      <c r="K50" s="169"/>
      <c r="L50" s="301" t="s">
        <v>10</v>
      </c>
      <c r="M50" s="177" t="s">
        <v>204</v>
      </c>
      <c r="N50" s="202">
        <v>18.639963899119657</v>
      </c>
      <c r="O50" s="169"/>
    </row>
    <row r="51" spans="1:15" ht="24">
      <c r="A51" s="301" t="s">
        <v>10</v>
      </c>
      <c r="B51" s="177" t="s">
        <v>140</v>
      </c>
      <c r="C51" s="178">
        <v>11</v>
      </c>
      <c r="D51" s="179">
        <v>27.181818181818183</v>
      </c>
      <c r="E51" s="180">
        <v>7.0684960468006457</v>
      </c>
      <c r="F51" s="180">
        <v>2.1312317472134694</v>
      </c>
      <c r="G51" s="179">
        <v>22.43313792326526</v>
      </c>
      <c r="H51" s="179">
        <v>31.930498440371107</v>
      </c>
      <c r="I51" s="181">
        <v>17</v>
      </c>
      <c r="J51" s="182">
        <v>40</v>
      </c>
      <c r="K51" s="169"/>
      <c r="L51" s="300"/>
      <c r="M51" s="177" t="s">
        <v>205</v>
      </c>
      <c r="N51" s="200">
        <v>3</v>
      </c>
      <c r="O51" s="169"/>
    </row>
    <row r="52" spans="1:15" ht="24">
      <c r="A52" s="300"/>
      <c r="B52" s="177" t="s">
        <v>40</v>
      </c>
      <c r="C52" s="178">
        <v>16</v>
      </c>
      <c r="D52" s="179">
        <v>40.5</v>
      </c>
      <c r="E52" s="180">
        <v>8.5712698398000899</v>
      </c>
      <c r="F52" s="180">
        <v>2.1428174599500225</v>
      </c>
      <c r="G52" s="179">
        <v>35.932692698772016</v>
      </c>
      <c r="H52" s="179">
        <v>45.067307301227984</v>
      </c>
      <c r="I52" s="181">
        <v>22</v>
      </c>
      <c r="J52" s="182">
        <v>54</v>
      </c>
      <c r="K52" s="169"/>
      <c r="L52" s="302"/>
      <c r="M52" s="190" t="s">
        <v>206</v>
      </c>
      <c r="N52" s="231">
        <v>3.2449417782772898E-4</v>
      </c>
      <c r="O52" s="169"/>
    </row>
    <row r="53" spans="1:15">
      <c r="A53" s="300"/>
      <c r="B53" s="177" t="s">
        <v>41</v>
      </c>
      <c r="C53" s="178">
        <v>18</v>
      </c>
      <c r="D53" s="179">
        <v>44.166666666666664</v>
      </c>
      <c r="E53" s="180">
        <v>9.3886665093361046</v>
      </c>
      <c r="F53" s="180">
        <v>2.2129299183501976</v>
      </c>
      <c r="G53" s="179">
        <v>39.4977926522781</v>
      </c>
      <c r="H53" s="179">
        <v>48.835540681055228</v>
      </c>
      <c r="I53" s="181">
        <v>30</v>
      </c>
      <c r="J53" s="182">
        <v>57</v>
      </c>
      <c r="K53" s="169"/>
      <c r="L53" s="318" t="s">
        <v>327</v>
      </c>
      <c r="M53" s="318"/>
      <c r="N53" s="318"/>
      <c r="O53" s="169"/>
    </row>
    <row r="54" spans="1:15">
      <c r="A54" s="300"/>
      <c r="B54" s="177" t="s">
        <v>42</v>
      </c>
      <c r="C54" s="178">
        <v>1</v>
      </c>
      <c r="D54" s="179">
        <v>49</v>
      </c>
      <c r="E54" s="183"/>
      <c r="F54" s="183"/>
      <c r="G54" s="183"/>
      <c r="H54" s="183"/>
      <c r="I54" s="181">
        <v>49</v>
      </c>
      <c r="J54" s="182">
        <v>49</v>
      </c>
      <c r="K54" s="169"/>
      <c r="L54" s="318" t="s">
        <v>330</v>
      </c>
      <c r="M54" s="318"/>
      <c r="N54" s="318"/>
      <c r="O54" s="169"/>
    </row>
    <row r="55" spans="1:15">
      <c r="A55" s="302"/>
      <c r="B55" s="190" t="s">
        <v>32</v>
      </c>
      <c r="C55" s="191">
        <v>46</v>
      </c>
      <c r="D55" s="192">
        <v>38.934782608695649</v>
      </c>
      <c r="E55" s="193">
        <v>10.804118913971948</v>
      </c>
      <c r="F55" s="193">
        <v>1.5929804272061467</v>
      </c>
      <c r="G55" s="192">
        <v>35.7263553318394</v>
      </c>
      <c r="H55" s="192">
        <v>42.143209885551897</v>
      </c>
      <c r="I55" s="194">
        <v>17</v>
      </c>
      <c r="J55" s="195">
        <v>57</v>
      </c>
      <c r="K55" s="169"/>
    </row>
    <row r="57" spans="1:15">
      <c r="A57" s="288" t="s">
        <v>153</v>
      </c>
      <c r="B57" s="288"/>
      <c r="C57" s="288"/>
      <c r="D57" s="288"/>
      <c r="E57" s="288"/>
      <c r="F57" s="288"/>
      <c r="G57" s="288"/>
      <c r="H57" s="288"/>
      <c r="I57" s="288"/>
      <c r="J57" s="288"/>
      <c r="K57" s="169"/>
    </row>
    <row r="58" spans="1:1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169"/>
    </row>
    <row r="59" spans="1:15">
      <c r="A59" s="291" t="s">
        <v>1</v>
      </c>
      <c r="B59" s="291"/>
      <c r="C59" s="293" t="s">
        <v>155</v>
      </c>
      <c r="D59" s="295" t="s">
        <v>156</v>
      </c>
      <c r="E59" s="295" t="s">
        <v>157</v>
      </c>
      <c r="F59" s="295" t="s">
        <v>158</v>
      </c>
      <c r="G59" s="295" t="s">
        <v>159</v>
      </c>
      <c r="H59" s="295"/>
      <c r="I59" s="295" t="s">
        <v>160</v>
      </c>
      <c r="J59" s="297" t="s">
        <v>161</v>
      </c>
      <c r="K59" s="169"/>
    </row>
    <row r="60" spans="1:15" ht="24.75">
      <c r="A60" s="292"/>
      <c r="B60" s="292"/>
      <c r="C60" s="294"/>
      <c r="D60" s="296"/>
      <c r="E60" s="296"/>
      <c r="F60" s="296"/>
      <c r="G60" s="170" t="s">
        <v>162</v>
      </c>
      <c r="H60" s="170" t="s">
        <v>163</v>
      </c>
      <c r="I60" s="296"/>
      <c r="J60" s="298"/>
      <c r="K60" s="169"/>
      <c r="L60" s="288" t="s">
        <v>329</v>
      </c>
      <c r="M60" s="288"/>
      <c r="N60" s="288"/>
      <c r="O60" s="169"/>
    </row>
    <row r="61" spans="1:15">
      <c r="A61" s="299" t="s">
        <v>9</v>
      </c>
      <c r="B61" s="196" t="s">
        <v>322</v>
      </c>
      <c r="C61" s="172">
        <v>16</v>
      </c>
      <c r="D61" s="173">
        <v>38.3125</v>
      </c>
      <c r="E61" s="174">
        <v>8.8220840319431701</v>
      </c>
      <c r="F61" s="174">
        <v>2.2055210079857925</v>
      </c>
      <c r="G61" s="173">
        <v>33.611543249806189</v>
      </c>
      <c r="H61" s="173">
        <v>43.013456750193811</v>
      </c>
      <c r="I61" s="175">
        <v>25</v>
      </c>
      <c r="J61" s="176">
        <v>55</v>
      </c>
      <c r="K61" s="169" t="s">
        <v>342</v>
      </c>
      <c r="L61" s="292" t="s">
        <v>1</v>
      </c>
      <c r="M61" s="292"/>
      <c r="N61" s="198" t="s">
        <v>123</v>
      </c>
      <c r="O61" s="169"/>
    </row>
    <row r="62" spans="1:15" ht="24">
      <c r="A62" s="300"/>
      <c r="B62" s="197" t="s">
        <v>323</v>
      </c>
      <c r="C62" s="178">
        <v>19</v>
      </c>
      <c r="D62" s="179">
        <v>37.157894736842103</v>
      </c>
      <c r="E62" s="180">
        <v>9.2271529128541587</v>
      </c>
      <c r="F62" s="180">
        <v>2.1168540570383283</v>
      </c>
      <c r="G62" s="179">
        <v>32.710549392436739</v>
      </c>
      <c r="H62" s="179">
        <v>41.605240081247466</v>
      </c>
      <c r="I62" s="181">
        <v>16</v>
      </c>
      <c r="J62" s="182">
        <v>52</v>
      </c>
      <c r="K62" s="169"/>
      <c r="L62" s="299" t="s">
        <v>9</v>
      </c>
      <c r="M62" s="171" t="s">
        <v>204</v>
      </c>
      <c r="N62" s="199">
        <v>1.3036943263890421</v>
      </c>
      <c r="O62" s="169"/>
    </row>
    <row r="63" spans="1:15">
      <c r="A63" s="300"/>
      <c r="B63" s="197" t="s">
        <v>324</v>
      </c>
      <c r="C63" s="178">
        <v>7</v>
      </c>
      <c r="D63" s="179">
        <v>41.285714285714285</v>
      </c>
      <c r="E63" s="180">
        <v>8.9202818661423802</v>
      </c>
      <c r="F63" s="180">
        <v>3.3715496346302705</v>
      </c>
      <c r="G63" s="179">
        <v>33.035829528014332</v>
      </c>
      <c r="H63" s="179">
        <v>49.535599043414237</v>
      </c>
      <c r="I63" s="181">
        <v>29</v>
      </c>
      <c r="J63" s="182">
        <v>53</v>
      </c>
      <c r="K63" s="169"/>
      <c r="L63" s="300"/>
      <c r="M63" s="177" t="s">
        <v>205</v>
      </c>
      <c r="N63" s="200">
        <v>2</v>
      </c>
      <c r="O63" s="169"/>
    </row>
    <row r="64" spans="1:15" ht="24">
      <c r="A64" s="301"/>
      <c r="B64" s="184" t="s">
        <v>32</v>
      </c>
      <c r="C64" s="185">
        <v>42</v>
      </c>
      <c r="D64" s="186">
        <v>38.285714285714285</v>
      </c>
      <c r="E64" s="187">
        <v>8.9232109343997319</v>
      </c>
      <c r="F64" s="187">
        <v>1.3768813395962469</v>
      </c>
      <c r="G64" s="186">
        <v>35.505046008963873</v>
      </c>
      <c r="H64" s="186">
        <v>41.066382562464696</v>
      </c>
      <c r="I64" s="188">
        <v>16</v>
      </c>
      <c r="J64" s="189">
        <v>55</v>
      </c>
      <c r="K64" s="169"/>
      <c r="L64" s="301"/>
      <c r="M64" s="184" t="s">
        <v>206</v>
      </c>
      <c r="N64" s="201">
        <v>0.52108236308140454</v>
      </c>
      <c r="O64" s="169"/>
    </row>
    <row r="65" spans="1:15" ht="24">
      <c r="A65" s="301" t="s">
        <v>10</v>
      </c>
      <c r="B65" s="197" t="s">
        <v>322</v>
      </c>
      <c r="C65" s="178">
        <v>24</v>
      </c>
      <c r="D65" s="179">
        <v>37.291666666666664</v>
      </c>
      <c r="E65" s="180">
        <v>11.011769066367787</v>
      </c>
      <c r="F65" s="180">
        <v>2.2477679481637494</v>
      </c>
      <c r="G65" s="179">
        <v>32.641804394242008</v>
      </c>
      <c r="H65" s="179">
        <v>41.94152893909132</v>
      </c>
      <c r="I65" s="181">
        <v>20</v>
      </c>
      <c r="J65" s="182">
        <v>57</v>
      </c>
      <c r="K65" s="169"/>
      <c r="L65" s="301" t="s">
        <v>10</v>
      </c>
      <c r="M65" s="177" t="s">
        <v>204</v>
      </c>
      <c r="N65" s="202">
        <v>3.6640895195158105</v>
      </c>
      <c r="O65" s="169"/>
    </row>
    <row r="66" spans="1:15">
      <c r="A66" s="300"/>
      <c r="B66" s="197" t="s">
        <v>325</v>
      </c>
      <c r="C66" s="178">
        <v>20</v>
      </c>
      <c r="D66" s="179">
        <v>39.950000000000003</v>
      </c>
      <c r="E66" s="180">
        <v>10.389645655271659</v>
      </c>
      <c r="F66" s="180">
        <v>2.3231953947322777</v>
      </c>
      <c r="G66" s="179">
        <v>35.087496155734897</v>
      </c>
      <c r="H66" s="179">
        <v>44.812503844265109</v>
      </c>
      <c r="I66" s="181">
        <v>17</v>
      </c>
      <c r="J66" s="182">
        <v>56</v>
      </c>
      <c r="K66" s="169"/>
      <c r="L66" s="300"/>
      <c r="M66" s="177" t="s">
        <v>205</v>
      </c>
      <c r="N66" s="200">
        <v>3</v>
      </c>
      <c r="O66" s="169"/>
    </row>
    <row r="67" spans="1:15" ht="24">
      <c r="A67" s="300"/>
      <c r="B67" s="197" t="s">
        <v>323</v>
      </c>
      <c r="C67" s="178">
        <v>1</v>
      </c>
      <c r="D67" s="179">
        <v>40</v>
      </c>
      <c r="E67" s="183"/>
      <c r="F67" s="183"/>
      <c r="G67" s="183"/>
      <c r="H67" s="183"/>
      <c r="I67" s="181">
        <v>40</v>
      </c>
      <c r="J67" s="182">
        <v>40</v>
      </c>
      <c r="K67" s="169"/>
      <c r="L67" s="302"/>
      <c r="M67" s="190" t="s">
        <v>206</v>
      </c>
      <c r="N67" s="203">
        <v>0.30009549532697627</v>
      </c>
      <c r="O67" s="169"/>
    </row>
    <row r="68" spans="1:15">
      <c r="A68" s="300"/>
      <c r="B68" s="197" t="s">
        <v>324</v>
      </c>
      <c r="C68" s="178">
        <v>1</v>
      </c>
      <c r="D68" s="179">
        <v>57</v>
      </c>
      <c r="E68" s="183"/>
      <c r="F68" s="183"/>
      <c r="G68" s="183"/>
      <c r="H68" s="183"/>
      <c r="I68" s="181">
        <v>57</v>
      </c>
      <c r="J68" s="182">
        <v>57</v>
      </c>
      <c r="K68" s="169"/>
      <c r="L68" s="318" t="s">
        <v>327</v>
      </c>
      <c r="M68" s="318"/>
      <c r="N68" s="318"/>
      <c r="O68" s="169"/>
    </row>
    <row r="69" spans="1:15">
      <c r="A69" s="302"/>
      <c r="B69" s="190" t="s">
        <v>32</v>
      </c>
      <c r="C69" s="191">
        <v>46</v>
      </c>
      <c r="D69" s="192">
        <v>38.934782608695649</v>
      </c>
      <c r="E69" s="193">
        <v>10.804118913971948</v>
      </c>
      <c r="F69" s="193">
        <v>1.5929804272061467</v>
      </c>
      <c r="G69" s="192">
        <v>35.7263553318394</v>
      </c>
      <c r="H69" s="192">
        <v>42.143209885551897</v>
      </c>
      <c r="I69" s="194">
        <v>17</v>
      </c>
      <c r="J69" s="195">
        <v>57</v>
      </c>
      <c r="K69" s="169"/>
      <c r="L69" s="318" t="s">
        <v>332</v>
      </c>
      <c r="M69" s="318"/>
      <c r="N69" s="318"/>
      <c r="O69" s="169"/>
    </row>
    <row r="71" spans="1:15">
      <c r="A71" s="288" t="s">
        <v>153</v>
      </c>
      <c r="B71" s="288"/>
      <c r="C71" s="288"/>
      <c r="D71" s="288"/>
      <c r="E71" s="288"/>
      <c r="F71" s="288"/>
      <c r="G71" s="288"/>
      <c r="H71" s="288"/>
      <c r="I71" s="288"/>
      <c r="J71" s="288"/>
      <c r="K71" s="169"/>
    </row>
    <row r="72" spans="1:15">
      <c r="A72" s="289" t="s">
        <v>123</v>
      </c>
      <c r="B72" s="290"/>
      <c r="C72" s="290"/>
      <c r="D72" s="290"/>
      <c r="E72" s="290"/>
      <c r="F72" s="290"/>
      <c r="G72" s="290"/>
      <c r="H72" s="290"/>
      <c r="I72" s="290"/>
      <c r="J72" s="290"/>
      <c r="K72" s="169" t="s">
        <v>337</v>
      </c>
      <c r="L72" s="288" t="s">
        <v>329</v>
      </c>
      <c r="M72" s="288"/>
      <c r="N72" s="288"/>
      <c r="O72" s="169"/>
    </row>
    <row r="73" spans="1:15">
      <c r="A73" s="291" t="s">
        <v>1</v>
      </c>
      <c r="B73" s="291"/>
      <c r="C73" s="293" t="s">
        <v>155</v>
      </c>
      <c r="D73" s="295" t="s">
        <v>156</v>
      </c>
      <c r="E73" s="295" t="s">
        <v>157</v>
      </c>
      <c r="F73" s="295" t="s">
        <v>158</v>
      </c>
      <c r="G73" s="295" t="s">
        <v>159</v>
      </c>
      <c r="H73" s="295"/>
      <c r="I73" s="295" t="s">
        <v>160</v>
      </c>
      <c r="J73" s="297" t="s">
        <v>161</v>
      </c>
      <c r="K73" s="169"/>
      <c r="L73" s="292" t="s">
        <v>1</v>
      </c>
      <c r="M73" s="292"/>
      <c r="N73" s="198" t="s">
        <v>123</v>
      </c>
      <c r="O73" s="169"/>
    </row>
    <row r="74" spans="1:15" ht="24.75">
      <c r="A74" s="292"/>
      <c r="B74" s="292"/>
      <c r="C74" s="294"/>
      <c r="D74" s="296"/>
      <c r="E74" s="296"/>
      <c r="F74" s="296"/>
      <c r="G74" s="170" t="s">
        <v>162</v>
      </c>
      <c r="H74" s="170" t="s">
        <v>163</v>
      </c>
      <c r="I74" s="296"/>
      <c r="J74" s="298"/>
      <c r="K74" s="169"/>
      <c r="L74" s="299" t="s">
        <v>9</v>
      </c>
      <c r="M74" s="171" t="s">
        <v>204</v>
      </c>
      <c r="N74" s="199">
        <v>1.3129859003161208</v>
      </c>
      <c r="O74" s="169"/>
    </row>
    <row r="75" spans="1:15">
      <c r="A75" s="299" t="s">
        <v>9</v>
      </c>
      <c r="B75" s="196" t="s">
        <v>322</v>
      </c>
      <c r="C75" s="172">
        <v>38</v>
      </c>
      <c r="D75" s="173">
        <v>37.789473684210527</v>
      </c>
      <c r="E75" s="174">
        <v>9.1862349865991622</v>
      </c>
      <c r="F75" s="174">
        <v>1.4902040943672477</v>
      </c>
      <c r="G75" s="173">
        <v>34.770033379828895</v>
      </c>
      <c r="H75" s="173">
        <v>40.80891398859216</v>
      </c>
      <c r="I75" s="175">
        <v>16</v>
      </c>
      <c r="J75" s="176">
        <v>55</v>
      </c>
      <c r="K75" s="169"/>
      <c r="L75" s="300"/>
      <c r="M75" s="177" t="s">
        <v>205</v>
      </c>
      <c r="N75" s="200">
        <v>2</v>
      </c>
      <c r="O75" s="169"/>
    </row>
    <row r="76" spans="1:15" ht="24">
      <c r="A76" s="300"/>
      <c r="B76" s="197" t="s">
        <v>325</v>
      </c>
      <c r="C76" s="178">
        <v>3</v>
      </c>
      <c r="D76" s="179">
        <v>42.666666666666664</v>
      </c>
      <c r="E76" s="180">
        <v>4.6188021535170058</v>
      </c>
      <c r="F76" s="180">
        <v>2.6666666666666665</v>
      </c>
      <c r="G76" s="179">
        <v>31.192926054001425</v>
      </c>
      <c r="H76" s="179">
        <v>54.140407279331903</v>
      </c>
      <c r="I76" s="181">
        <v>40</v>
      </c>
      <c r="J76" s="182">
        <v>48</v>
      </c>
      <c r="K76" s="169"/>
      <c r="L76" s="301"/>
      <c r="M76" s="184" t="s">
        <v>206</v>
      </c>
      <c r="N76" s="201">
        <v>0.51866714008187931</v>
      </c>
      <c r="O76" s="169"/>
    </row>
    <row r="77" spans="1:15" ht="24">
      <c r="A77" s="300"/>
      <c r="B77" s="197" t="s">
        <v>323</v>
      </c>
      <c r="C77" s="178">
        <v>1</v>
      </c>
      <c r="D77" s="179">
        <v>44</v>
      </c>
      <c r="E77" s="183"/>
      <c r="F77" s="183"/>
      <c r="G77" s="183"/>
      <c r="H77" s="183"/>
      <c r="I77" s="181">
        <v>44</v>
      </c>
      <c r="J77" s="182">
        <v>44</v>
      </c>
      <c r="K77" s="169"/>
      <c r="L77" s="301" t="s">
        <v>10</v>
      </c>
      <c r="M77" s="177" t="s">
        <v>204</v>
      </c>
      <c r="N77" s="202">
        <v>2.7921616735537187</v>
      </c>
      <c r="O77" s="169"/>
    </row>
    <row r="78" spans="1:15">
      <c r="A78" s="301"/>
      <c r="B78" s="184" t="s">
        <v>32</v>
      </c>
      <c r="C78" s="185">
        <v>42</v>
      </c>
      <c r="D78" s="186">
        <v>38.285714285714285</v>
      </c>
      <c r="E78" s="187">
        <v>8.9232109343997319</v>
      </c>
      <c r="F78" s="187">
        <v>1.3768813395962469</v>
      </c>
      <c r="G78" s="186">
        <v>35.505046008963873</v>
      </c>
      <c r="H78" s="186">
        <v>41.066382562464696</v>
      </c>
      <c r="I78" s="188">
        <v>16</v>
      </c>
      <c r="J78" s="189">
        <v>55</v>
      </c>
      <c r="K78" s="169"/>
      <c r="L78" s="300"/>
      <c r="M78" s="177" t="s">
        <v>205</v>
      </c>
      <c r="N78" s="200">
        <v>1</v>
      </c>
      <c r="O78" s="169"/>
    </row>
    <row r="79" spans="1:15" ht="24">
      <c r="A79" s="301" t="s">
        <v>10</v>
      </c>
      <c r="B79" s="197" t="s">
        <v>322</v>
      </c>
      <c r="C79" s="178">
        <v>44</v>
      </c>
      <c r="D79" s="179">
        <v>38.363636363636367</v>
      </c>
      <c r="E79" s="180">
        <v>10.633625711471614</v>
      </c>
      <c r="F79" s="180">
        <v>1.6030793930012424</v>
      </c>
      <c r="G79" s="179">
        <v>35.130718657028382</v>
      </c>
      <c r="H79" s="179">
        <v>41.596554070244352</v>
      </c>
      <c r="I79" s="181">
        <v>17</v>
      </c>
      <c r="J79" s="182">
        <v>57</v>
      </c>
      <c r="K79" s="169"/>
      <c r="L79" s="302"/>
      <c r="M79" s="190" t="s">
        <v>206</v>
      </c>
      <c r="N79" s="203">
        <v>9.4726366332156101E-2</v>
      </c>
      <c r="O79" s="169"/>
    </row>
    <row r="80" spans="1:15">
      <c r="A80" s="300"/>
      <c r="B80" s="197" t="s">
        <v>323</v>
      </c>
      <c r="C80" s="178">
        <v>2</v>
      </c>
      <c r="D80" s="179">
        <v>51.5</v>
      </c>
      <c r="E80" s="180">
        <v>7.7781745930520225</v>
      </c>
      <c r="F80" s="180">
        <v>5.4999999999999991</v>
      </c>
      <c r="G80" s="179">
        <v>-18.384126048960965</v>
      </c>
      <c r="H80" s="179">
        <v>121.38412604896097</v>
      </c>
      <c r="I80" s="181">
        <v>46</v>
      </c>
      <c r="J80" s="182">
        <v>57</v>
      </c>
      <c r="K80" s="169"/>
      <c r="L80" s="318" t="s">
        <v>327</v>
      </c>
      <c r="M80" s="318"/>
      <c r="N80" s="318"/>
      <c r="O80" s="169"/>
    </row>
    <row r="81" spans="1:15">
      <c r="A81" s="302"/>
      <c r="B81" s="190" t="s">
        <v>32</v>
      </c>
      <c r="C81" s="191">
        <v>46</v>
      </c>
      <c r="D81" s="192">
        <v>38.934782608695649</v>
      </c>
      <c r="E81" s="193">
        <v>10.804118913971948</v>
      </c>
      <c r="F81" s="193">
        <v>1.5929804272061467</v>
      </c>
      <c r="G81" s="192">
        <v>35.7263553318394</v>
      </c>
      <c r="H81" s="192">
        <v>42.143209885551897</v>
      </c>
      <c r="I81" s="194">
        <v>17</v>
      </c>
      <c r="J81" s="195">
        <v>57</v>
      </c>
      <c r="K81" s="169"/>
      <c r="L81" s="318" t="s">
        <v>333</v>
      </c>
      <c r="M81" s="318"/>
      <c r="N81" s="318"/>
      <c r="O81" s="169"/>
    </row>
    <row r="83" spans="1:15">
      <c r="A83" s="288" t="s">
        <v>153</v>
      </c>
      <c r="B83" s="288"/>
      <c r="C83" s="288"/>
      <c r="D83" s="288"/>
      <c r="E83" s="288"/>
      <c r="F83" s="288"/>
      <c r="G83" s="288"/>
      <c r="H83" s="288"/>
      <c r="I83" s="288"/>
      <c r="J83" s="288"/>
      <c r="K83" s="169"/>
    </row>
    <row r="84" spans="1:15">
      <c r="A84" s="289" t="s">
        <v>123</v>
      </c>
      <c r="B84" s="290"/>
      <c r="C84" s="290"/>
      <c r="D84" s="290"/>
      <c r="E84" s="290"/>
      <c r="F84" s="290"/>
      <c r="G84" s="290"/>
      <c r="H84" s="290"/>
      <c r="I84" s="290"/>
      <c r="J84" s="290"/>
      <c r="K84" s="169"/>
    </row>
    <row r="85" spans="1:15">
      <c r="A85" s="291" t="s">
        <v>1</v>
      </c>
      <c r="B85" s="291"/>
      <c r="C85" s="293" t="s">
        <v>155</v>
      </c>
      <c r="D85" s="295" t="s">
        <v>156</v>
      </c>
      <c r="E85" s="295" t="s">
        <v>157</v>
      </c>
      <c r="F85" s="295" t="s">
        <v>158</v>
      </c>
      <c r="G85" s="295" t="s">
        <v>159</v>
      </c>
      <c r="H85" s="295"/>
      <c r="I85" s="295" t="s">
        <v>160</v>
      </c>
      <c r="J85" s="297" t="s">
        <v>161</v>
      </c>
      <c r="K85" s="169"/>
    </row>
    <row r="86" spans="1:15" ht="24.75">
      <c r="A86" s="292"/>
      <c r="B86" s="292"/>
      <c r="C86" s="294"/>
      <c r="D86" s="296"/>
      <c r="E86" s="296"/>
      <c r="F86" s="296"/>
      <c r="G86" s="170" t="s">
        <v>162</v>
      </c>
      <c r="H86" s="170" t="s">
        <v>163</v>
      </c>
      <c r="I86" s="296"/>
      <c r="J86" s="298"/>
      <c r="K86" s="169" t="s">
        <v>334</v>
      </c>
      <c r="L86" s="288" t="s">
        <v>329</v>
      </c>
      <c r="M86" s="288"/>
      <c r="N86" s="288"/>
      <c r="O86" s="169"/>
    </row>
    <row r="87" spans="1:15">
      <c r="A87" s="299" t="s">
        <v>9</v>
      </c>
      <c r="B87" s="196" t="s">
        <v>322</v>
      </c>
      <c r="C87" s="172">
        <v>8</v>
      </c>
      <c r="D87" s="173">
        <v>42</v>
      </c>
      <c r="E87" s="174">
        <v>7.010196655077312</v>
      </c>
      <c r="F87" s="174">
        <v>2.47847879612821</v>
      </c>
      <c r="G87" s="173">
        <v>36.139328931616745</v>
      </c>
      <c r="H87" s="173">
        <v>47.860671068383255</v>
      </c>
      <c r="I87" s="175">
        <v>29</v>
      </c>
      <c r="J87" s="176">
        <v>52</v>
      </c>
      <c r="K87" s="169"/>
      <c r="L87" s="292" t="s">
        <v>1</v>
      </c>
      <c r="M87" s="292"/>
      <c r="N87" s="198" t="s">
        <v>123</v>
      </c>
      <c r="O87" s="169"/>
    </row>
    <row r="88" spans="1:15" ht="24">
      <c r="A88" s="300"/>
      <c r="B88" s="197" t="s">
        <v>325</v>
      </c>
      <c r="C88" s="178">
        <v>32</v>
      </c>
      <c r="D88" s="179">
        <v>37.9375</v>
      </c>
      <c r="E88" s="180">
        <v>9.1614110055658582</v>
      </c>
      <c r="F88" s="180">
        <v>1.6195239618181714</v>
      </c>
      <c r="G88" s="179">
        <v>34.634459103111013</v>
      </c>
      <c r="H88" s="179">
        <v>41.240540896888987</v>
      </c>
      <c r="I88" s="181">
        <v>16</v>
      </c>
      <c r="J88" s="182">
        <v>55</v>
      </c>
      <c r="K88" s="169"/>
      <c r="L88" s="299" t="s">
        <v>9</v>
      </c>
      <c r="M88" s="171" t="s">
        <v>204</v>
      </c>
      <c r="N88" s="199">
        <v>4.540943711306614</v>
      </c>
      <c r="O88" s="169"/>
    </row>
    <row r="89" spans="1:15">
      <c r="A89" s="300"/>
      <c r="B89" s="197" t="s">
        <v>323</v>
      </c>
      <c r="C89" s="178">
        <v>1</v>
      </c>
      <c r="D89" s="179">
        <v>33</v>
      </c>
      <c r="E89" s="183"/>
      <c r="F89" s="183"/>
      <c r="G89" s="183"/>
      <c r="H89" s="183"/>
      <c r="I89" s="181">
        <v>33</v>
      </c>
      <c r="J89" s="182">
        <v>33</v>
      </c>
      <c r="K89" s="169"/>
      <c r="L89" s="300"/>
      <c r="M89" s="177" t="s">
        <v>205</v>
      </c>
      <c r="N89" s="200">
        <v>3</v>
      </c>
      <c r="O89" s="169"/>
    </row>
    <row r="90" spans="1:15" ht="24">
      <c r="A90" s="300"/>
      <c r="B90" s="197" t="s">
        <v>324</v>
      </c>
      <c r="C90" s="178">
        <v>1</v>
      </c>
      <c r="D90" s="179">
        <v>25</v>
      </c>
      <c r="E90" s="183"/>
      <c r="F90" s="183"/>
      <c r="G90" s="183"/>
      <c r="H90" s="183"/>
      <c r="I90" s="181">
        <v>25</v>
      </c>
      <c r="J90" s="182">
        <v>25</v>
      </c>
      <c r="K90" s="169"/>
      <c r="L90" s="301"/>
      <c r="M90" s="184" t="s">
        <v>206</v>
      </c>
      <c r="N90" s="201">
        <v>0.2086671481328756</v>
      </c>
      <c r="O90" s="169"/>
    </row>
    <row r="91" spans="1:15" ht="24">
      <c r="A91" s="301"/>
      <c r="B91" s="184" t="s">
        <v>32</v>
      </c>
      <c r="C91" s="185">
        <v>42</v>
      </c>
      <c r="D91" s="186">
        <v>38.285714285714285</v>
      </c>
      <c r="E91" s="187">
        <v>8.9232109343997319</v>
      </c>
      <c r="F91" s="187">
        <v>1.3768813395962469</v>
      </c>
      <c r="G91" s="186">
        <v>35.505046008963873</v>
      </c>
      <c r="H91" s="186">
        <v>41.066382562464696</v>
      </c>
      <c r="I91" s="188">
        <v>16</v>
      </c>
      <c r="J91" s="189">
        <v>55</v>
      </c>
      <c r="K91" s="169"/>
      <c r="L91" s="301" t="s">
        <v>10</v>
      </c>
      <c r="M91" s="177" t="s">
        <v>204</v>
      </c>
      <c r="N91" s="202">
        <v>2.7155192378952564</v>
      </c>
      <c r="O91" s="169"/>
    </row>
    <row r="92" spans="1:15">
      <c r="A92" s="301" t="s">
        <v>10</v>
      </c>
      <c r="B92" s="197" t="s">
        <v>322</v>
      </c>
      <c r="C92" s="178">
        <v>12</v>
      </c>
      <c r="D92" s="179">
        <v>40.333333333333336</v>
      </c>
      <c r="E92" s="180">
        <v>11.842399429272104</v>
      </c>
      <c r="F92" s="180">
        <v>3.4186062491706601</v>
      </c>
      <c r="G92" s="179">
        <v>32.809031710712169</v>
      </c>
      <c r="H92" s="179">
        <v>47.857634955954502</v>
      </c>
      <c r="I92" s="181">
        <v>22</v>
      </c>
      <c r="J92" s="182">
        <v>57</v>
      </c>
      <c r="K92" s="169"/>
      <c r="L92" s="300"/>
      <c r="M92" s="177" t="s">
        <v>205</v>
      </c>
      <c r="N92" s="200">
        <v>3</v>
      </c>
      <c r="O92" s="169"/>
    </row>
    <row r="93" spans="1:15" ht="24">
      <c r="A93" s="300"/>
      <c r="B93" s="197" t="s">
        <v>325</v>
      </c>
      <c r="C93" s="178">
        <v>32</v>
      </c>
      <c r="D93" s="179">
        <v>39.125</v>
      </c>
      <c r="E93" s="180">
        <v>10.490394992409685</v>
      </c>
      <c r="F93" s="180">
        <v>1.8544573591145721</v>
      </c>
      <c r="G93" s="179">
        <v>35.342809280317468</v>
      </c>
      <c r="H93" s="179">
        <v>42.907190719682532</v>
      </c>
      <c r="I93" s="181">
        <v>17</v>
      </c>
      <c r="J93" s="182">
        <v>57</v>
      </c>
      <c r="K93" s="169"/>
      <c r="L93" s="302"/>
      <c r="M93" s="190" t="s">
        <v>206</v>
      </c>
      <c r="N93" s="203">
        <v>0.43759640178240466</v>
      </c>
      <c r="O93" s="169"/>
    </row>
    <row r="94" spans="1:15">
      <c r="A94" s="300"/>
      <c r="B94" s="197" t="s">
        <v>323</v>
      </c>
      <c r="C94" s="178">
        <v>1</v>
      </c>
      <c r="D94" s="179">
        <v>30</v>
      </c>
      <c r="E94" s="183"/>
      <c r="F94" s="183"/>
      <c r="G94" s="183"/>
      <c r="H94" s="183"/>
      <c r="I94" s="181">
        <v>30</v>
      </c>
      <c r="J94" s="182">
        <v>30</v>
      </c>
      <c r="K94" s="169"/>
      <c r="L94" s="318" t="s">
        <v>327</v>
      </c>
      <c r="M94" s="318"/>
      <c r="N94" s="318"/>
      <c r="O94" s="169"/>
    </row>
    <row r="95" spans="1:15">
      <c r="A95" s="300"/>
      <c r="B95" s="197" t="s">
        <v>324</v>
      </c>
      <c r="C95" s="178">
        <v>1</v>
      </c>
      <c r="D95" s="179">
        <v>25</v>
      </c>
      <c r="E95" s="183"/>
      <c r="F95" s="183"/>
      <c r="G95" s="183"/>
      <c r="H95" s="183"/>
      <c r="I95" s="181">
        <v>25</v>
      </c>
      <c r="J95" s="182">
        <v>25</v>
      </c>
      <c r="K95" s="169"/>
      <c r="L95" s="318" t="s">
        <v>335</v>
      </c>
      <c r="M95" s="318"/>
      <c r="N95" s="318"/>
      <c r="O95" s="169"/>
    </row>
    <row r="96" spans="1:15">
      <c r="A96" s="302"/>
      <c r="B96" s="190" t="s">
        <v>32</v>
      </c>
      <c r="C96" s="191">
        <v>46</v>
      </c>
      <c r="D96" s="192">
        <v>38.934782608695649</v>
      </c>
      <c r="E96" s="193">
        <v>10.804118913971948</v>
      </c>
      <c r="F96" s="193">
        <v>1.5929804272061467</v>
      </c>
      <c r="G96" s="192">
        <v>35.7263553318394</v>
      </c>
      <c r="H96" s="192">
        <v>42.143209885551897</v>
      </c>
      <c r="I96" s="194">
        <v>17</v>
      </c>
      <c r="J96" s="195">
        <v>57</v>
      </c>
      <c r="K96" s="169"/>
    </row>
    <row r="98" spans="1:15">
      <c r="A98" s="288" t="s">
        <v>153</v>
      </c>
      <c r="B98" s="288"/>
      <c r="C98" s="288"/>
      <c r="D98" s="288"/>
      <c r="E98" s="288"/>
      <c r="F98" s="288"/>
      <c r="G98" s="288"/>
      <c r="H98" s="288"/>
      <c r="I98" s="288"/>
      <c r="J98" s="288"/>
      <c r="K98" s="169"/>
    </row>
    <row r="99" spans="1:15">
      <c r="A99" s="289" t="s">
        <v>123</v>
      </c>
      <c r="B99" s="290"/>
      <c r="C99" s="290"/>
      <c r="D99" s="290"/>
      <c r="E99" s="290"/>
      <c r="F99" s="290"/>
      <c r="G99" s="290"/>
      <c r="H99" s="290"/>
      <c r="I99" s="290"/>
      <c r="J99" s="290"/>
      <c r="K99" s="169"/>
    </row>
    <row r="100" spans="1:15">
      <c r="A100" s="291" t="s">
        <v>1</v>
      </c>
      <c r="B100" s="291"/>
      <c r="C100" s="293" t="s">
        <v>155</v>
      </c>
      <c r="D100" s="295" t="s">
        <v>156</v>
      </c>
      <c r="E100" s="295" t="s">
        <v>157</v>
      </c>
      <c r="F100" s="295" t="s">
        <v>158</v>
      </c>
      <c r="G100" s="295" t="s">
        <v>159</v>
      </c>
      <c r="H100" s="295"/>
      <c r="I100" s="295" t="s">
        <v>160</v>
      </c>
      <c r="J100" s="297" t="s">
        <v>161</v>
      </c>
      <c r="K100" s="169" t="s">
        <v>336</v>
      </c>
      <c r="L100" s="288" t="s">
        <v>329</v>
      </c>
      <c r="M100" s="288"/>
      <c r="N100" s="288"/>
      <c r="O100" s="169"/>
    </row>
    <row r="101" spans="1:15" ht="24.75">
      <c r="A101" s="292"/>
      <c r="B101" s="292"/>
      <c r="C101" s="294"/>
      <c r="D101" s="296"/>
      <c r="E101" s="296"/>
      <c r="F101" s="296"/>
      <c r="G101" s="170" t="s">
        <v>162</v>
      </c>
      <c r="H101" s="170" t="s">
        <v>163</v>
      </c>
      <c r="I101" s="296"/>
      <c r="J101" s="298"/>
      <c r="K101" s="169"/>
      <c r="L101" s="292" t="s">
        <v>1</v>
      </c>
      <c r="M101" s="292"/>
      <c r="N101" s="198" t="s">
        <v>123</v>
      </c>
      <c r="O101" s="169"/>
    </row>
    <row r="102" spans="1:15" ht="24">
      <c r="A102" s="299" t="s">
        <v>9</v>
      </c>
      <c r="B102" s="196" t="s">
        <v>322</v>
      </c>
      <c r="C102" s="172">
        <v>31</v>
      </c>
      <c r="D102" s="173">
        <v>37.193548387096776</v>
      </c>
      <c r="E102" s="174">
        <v>9.3002485803291286</v>
      </c>
      <c r="F102" s="174">
        <v>1.6703739551940977</v>
      </c>
      <c r="G102" s="173">
        <v>33.782189666681269</v>
      </c>
      <c r="H102" s="173">
        <v>40.604907107512282</v>
      </c>
      <c r="I102" s="175">
        <v>16</v>
      </c>
      <c r="J102" s="176">
        <v>53</v>
      </c>
      <c r="K102" s="169"/>
      <c r="L102" s="299" t="s">
        <v>9</v>
      </c>
      <c r="M102" s="171" t="s">
        <v>204</v>
      </c>
      <c r="N102" s="199">
        <v>1.7243203219616676</v>
      </c>
      <c r="O102" s="169"/>
    </row>
    <row r="103" spans="1:15">
      <c r="A103" s="300"/>
      <c r="B103" s="197" t="s">
        <v>325</v>
      </c>
      <c r="C103" s="178">
        <v>9</v>
      </c>
      <c r="D103" s="179">
        <v>41.555555555555557</v>
      </c>
      <c r="E103" s="180">
        <v>8.0173423138704614</v>
      </c>
      <c r="F103" s="180">
        <v>2.6724474379568206</v>
      </c>
      <c r="G103" s="179">
        <v>35.392880712524779</v>
      </c>
      <c r="H103" s="179">
        <v>47.718230398586336</v>
      </c>
      <c r="I103" s="181">
        <v>28</v>
      </c>
      <c r="J103" s="182">
        <v>55</v>
      </c>
      <c r="K103" s="169"/>
      <c r="L103" s="300"/>
      <c r="M103" s="177" t="s">
        <v>205</v>
      </c>
      <c r="N103" s="200">
        <v>2</v>
      </c>
      <c r="O103" s="169"/>
    </row>
    <row r="104" spans="1:15" ht="24">
      <c r="A104" s="300"/>
      <c r="B104" s="197" t="s">
        <v>323</v>
      </c>
      <c r="C104" s="178">
        <v>2</v>
      </c>
      <c r="D104" s="179">
        <v>40.5</v>
      </c>
      <c r="E104" s="180">
        <v>3.5355339059327378</v>
      </c>
      <c r="F104" s="180">
        <v>2.5</v>
      </c>
      <c r="G104" s="179">
        <v>8.7344881595631918</v>
      </c>
      <c r="H104" s="179">
        <v>72.265511840436801</v>
      </c>
      <c r="I104" s="181">
        <v>38</v>
      </c>
      <c r="J104" s="182">
        <v>43</v>
      </c>
      <c r="K104" s="169"/>
      <c r="L104" s="301"/>
      <c r="M104" s="184" t="s">
        <v>206</v>
      </c>
      <c r="N104" s="201">
        <v>0.42224897068808509</v>
      </c>
      <c r="O104" s="169"/>
    </row>
    <row r="105" spans="1:15" ht="24">
      <c r="A105" s="301"/>
      <c r="B105" s="184" t="s">
        <v>32</v>
      </c>
      <c r="C105" s="185">
        <v>42</v>
      </c>
      <c r="D105" s="186">
        <v>38.285714285714285</v>
      </c>
      <c r="E105" s="187">
        <v>8.9232109343997319</v>
      </c>
      <c r="F105" s="187">
        <v>1.3768813395962469</v>
      </c>
      <c r="G105" s="186">
        <v>35.505046008963873</v>
      </c>
      <c r="H105" s="186">
        <v>41.066382562464696</v>
      </c>
      <c r="I105" s="188">
        <v>16</v>
      </c>
      <c r="J105" s="189">
        <v>55</v>
      </c>
      <c r="K105" s="169"/>
      <c r="L105" s="301" t="s">
        <v>10</v>
      </c>
      <c r="M105" s="177" t="s">
        <v>204</v>
      </c>
      <c r="N105" s="202">
        <v>1.3223664004914004</v>
      </c>
      <c r="O105" s="169"/>
    </row>
    <row r="106" spans="1:15">
      <c r="A106" s="301" t="s">
        <v>10</v>
      </c>
      <c r="B106" s="197" t="s">
        <v>322</v>
      </c>
      <c r="C106" s="178">
        <v>37</v>
      </c>
      <c r="D106" s="179">
        <v>37.972972972972975</v>
      </c>
      <c r="E106" s="180">
        <v>11.422410930774268</v>
      </c>
      <c r="F106" s="180">
        <v>1.8778327896049332</v>
      </c>
      <c r="G106" s="179">
        <v>34.164551557531325</v>
      </c>
      <c r="H106" s="179">
        <v>41.781394388414625</v>
      </c>
      <c r="I106" s="181">
        <v>17</v>
      </c>
      <c r="J106" s="182">
        <v>57</v>
      </c>
      <c r="K106" s="169"/>
      <c r="L106" s="300"/>
      <c r="M106" s="177" t="s">
        <v>205</v>
      </c>
      <c r="N106" s="200">
        <v>1</v>
      </c>
      <c r="O106" s="169"/>
    </row>
    <row r="107" spans="1:15" ht="24">
      <c r="A107" s="300"/>
      <c r="B107" s="197" t="s">
        <v>325</v>
      </c>
      <c r="C107" s="178">
        <v>9</v>
      </c>
      <c r="D107" s="179">
        <v>42.888888888888886</v>
      </c>
      <c r="E107" s="180">
        <v>6.9000805148281499</v>
      </c>
      <c r="F107" s="180">
        <v>2.3000268382760498</v>
      </c>
      <c r="G107" s="179">
        <v>37.585017488755305</v>
      </c>
      <c r="H107" s="179">
        <v>48.192760289022466</v>
      </c>
      <c r="I107" s="181">
        <v>29</v>
      </c>
      <c r="J107" s="182">
        <v>53</v>
      </c>
      <c r="K107" s="169"/>
      <c r="L107" s="302"/>
      <c r="M107" s="190" t="s">
        <v>206</v>
      </c>
      <c r="N107" s="203">
        <v>0.25016779701183445</v>
      </c>
      <c r="O107" s="169"/>
    </row>
    <row r="108" spans="1:15">
      <c r="A108" s="302"/>
      <c r="B108" s="190" t="s">
        <v>32</v>
      </c>
      <c r="C108" s="191">
        <v>46</v>
      </c>
      <c r="D108" s="192">
        <v>38.934782608695649</v>
      </c>
      <c r="E108" s="193">
        <v>10.804118913971948</v>
      </c>
      <c r="F108" s="193">
        <v>1.5929804272061467</v>
      </c>
      <c r="G108" s="192">
        <v>35.7263553318394</v>
      </c>
      <c r="H108" s="192">
        <v>42.143209885551897</v>
      </c>
      <c r="I108" s="194">
        <v>17</v>
      </c>
      <c r="J108" s="195">
        <v>57</v>
      </c>
      <c r="K108" s="169"/>
      <c r="L108" s="318" t="s">
        <v>327</v>
      </c>
      <c r="M108" s="318"/>
      <c r="N108" s="318"/>
      <c r="O108" s="169"/>
    </row>
    <row r="109" spans="1:15">
      <c r="L109" s="318" t="s">
        <v>338</v>
      </c>
      <c r="M109" s="318"/>
      <c r="N109" s="318"/>
      <c r="O109" s="169"/>
    </row>
    <row r="110" spans="1:15" s="90" customFormat="1">
      <c r="A110" s="303" t="s">
        <v>153</v>
      </c>
      <c r="B110" s="303"/>
      <c r="C110" s="303"/>
      <c r="D110" s="303"/>
      <c r="E110" s="303"/>
      <c r="F110" s="303"/>
      <c r="G110" s="303"/>
      <c r="H110" s="303"/>
      <c r="I110" s="303"/>
      <c r="J110" s="303"/>
      <c r="K110" s="204"/>
    </row>
    <row r="111" spans="1:15" s="90" customFormat="1">
      <c r="A111" s="304" t="s">
        <v>123</v>
      </c>
      <c r="B111" s="305"/>
      <c r="C111" s="305"/>
      <c r="D111" s="305"/>
      <c r="E111" s="305"/>
      <c r="F111" s="305"/>
      <c r="G111" s="305"/>
      <c r="H111" s="305"/>
      <c r="I111" s="305"/>
      <c r="J111" s="305"/>
      <c r="K111" s="204"/>
    </row>
    <row r="112" spans="1:15" s="90" customFormat="1">
      <c r="A112" s="314" t="s">
        <v>1</v>
      </c>
      <c r="B112" s="314"/>
      <c r="C112" s="316" t="s">
        <v>155</v>
      </c>
      <c r="D112" s="306" t="s">
        <v>156</v>
      </c>
      <c r="E112" s="306" t="s">
        <v>157</v>
      </c>
      <c r="F112" s="306" t="s">
        <v>158</v>
      </c>
      <c r="G112" s="306" t="s">
        <v>159</v>
      </c>
      <c r="H112" s="306"/>
      <c r="I112" s="306" t="s">
        <v>160</v>
      </c>
      <c r="J112" s="308" t="s">
        <v>161</v>
      </c>
      <c r="K112" s="204"/>
    </row>
    <row r="113" spans="1:11" s="90" customFormat="1" ht="24.75">
      <c r="A113" s="315"/>
      <c r="B113" s="315"/>
      <c r="C113" s="317"/>
      <c r="D113" s="307"/>
      <c r="E113" s="307"/>
      <c r="F113" s="307"/>
      <c r="G113" s="205" t="s">
        <v>162</v>
      </c>
      <c r="H113" s="205" t="s">
        <v>163</v>
      </c>
      <c r="I113" s="307"/>
      <c r="J113" s="309"/>
      <c r="K113" s="204"/>
    </row>
    <row r="114" spans="1:11" s="90" customFormat="1">
      <c r="A114" s="310" t="s">
        <v>9</v>
      </c>
      <c r="B114" s="206" t="s">
        <v>326</v>
      </c>
      <c r="C114" s="207">
        <v>27</v>
      </c>
      <c r="D114" s="208">
        <v>41.444444444444443</v>
      </c>
      <c r="E114" s="209">
        <v>8.7676561789223282</v>
      </c>
      <c r="F114" s="209">
        <v>1.6873362183542973</v>
      </c>
      <c r="G114" s="208">
        <v>37.976075174729125</v>
      </c>
      <c r="H114" s="208">
        <v>44.912813714159761</v>
      </c>
      <c r="I114" s="210">
        <v>16</v>
      </c>
      <c r="J114" s="211">
        <v>55</v>
      </c>
      <c r="K114" s="204"/>
    </row>
    <row r="115" spans="1:11" s="90" customFormat="1">
      <c r="A115" s="311"/>
      <c r="B115" s="212" t="s">
        <v>322</v>
      </c>
      <c r="C115" s="213">
        <v>15</v>
      </c>
      <c r="D115" s="214">
        <v>32.6</v>
      </c>
      <c r="E115" s="215">
        <v>6.0450688286286001</v>
      </c>
      <c r="F115" s="215">
        <v>1.5608300599970764</v>
      </c>
      <c r="G115" s="214">
        <v>29.252352465216344</v>
      </c>
      <c r="H115" s="214">
        <v>35.947647534783655</v>
      </c>
      <c r="I115" s="216">
        <v>25</v>
      </c>
      <c r="J115" s="217">
        <v>45</v>
      </c>
      <c r="K115" s="204"/>
    </row>
    <row r="116" spans="1:11" s="90" customFormat="1">
      <c r="A116" s="312"/>
      <c r="B116" s="218" t="s">
        <v>32</v>
      </c>
      <c r="C116" s="219">
        <v>42</v>
      </c>
      <c r="D116" s="220">
        <v>38.285714285714285</v>
      </c>
      <c r="E116" s="221">
        <v>8.9232109343997319</v>
      </c>
      <c r="F116" s="221">
        <v>1.3768813395962469</v>
      </c>
      <c r="G116" s="220">
        <v>35.505046008963873</v>
      </c>
      <c r="H116" s="220">
        <v>41.066382562464696</v>
      </c>
      <c r="I116" s="222">
        <v>16</v>
      </c>
      <c r="J116" s="223">
        <v>55</v>
      </c>
      <c r="K116" s="204"/>
    </row>
    <row r="117" spans="1:11" s="90" customFormat="1">
      <c r="A117" s="312" t="s">
        <v>10</v>
      </c>
      <c r="B117" s="212" t="s">
        <v>326</v>
      </c>
      <c r="C117" s="213">
        <v>21</v>
      </c>
      <c r="D117" s="214">
        <v>43.333333333333336</v>
      </c>
      <c r="E117" s="215">
        <v>9.5620778773932464</v>
      </c>
      <c r="F117" s="215">
        <v>2.0866164606770106</v>
      </c>
      <c r="G117" s="214">
        <v>38.980727667898002</v>
      </c>
      <c r="H117" s="214">
        <v>47.68593899876867</v>
      </c>
      <c r="I117" s="216">
        <v>27</v>
      </c>
      <c r="J117" s="217">
        <v>57</v>
      </c>
      <c r="K117" s="204"/>
    </row>
    <row r="118" spans="1:11" s="90" customFormat="1">
      <c r="A118" s="311"/>
      <c r="B118" s="212" t="s">
        <v>322</v>
      </c>
      <c r="C118" s="213">
        <v>25</v>
      </c>
      <c r="D118" s="214">
        <v>35.24</v>
      </c>
      <c r="E118" s="215">
        <v>10.560460848529921</v>
      </c>
      <c r="F118" s="215">
        <v>2.112092169705984</v>
      </c>
      <c r="G118" s="214">
        <v>30.8808560089183</v>
      </c>
      <c r="H118" s="214">
        <v>39.599143991081704</v>
      </c>
      <c r="I118" s="216">
        <v>17</v>
      </c>
      <c r="J118" s="217">
        <v>54</v>
      </c>
      <c r="K118" s="204"/>
    </row>
    <row r="119" spans="1:11" s="90" customFormat="1">
      <c r="A119" s="313"/>
      <c r="B119" s="224" t="s">
        <v>32</v>
      </c>
      <c r="C119" s="225">
        <v>46</v>
      </c>
      <c r="D119" s="226">
        <v>38.934782608695649</v>
      </c>
      <c r="E119" s="227">
        <v>10.804118913971948</v>
      </c>
      <c r="F119" s="227">
        <v>1.5929804272061467</v>
      </c>
      <c r="G119" s="226">
        <v>35.7263553318394</v>
      </c>
      <c r="H119" s="226">
        <v>42.143209885551897</v>
      </c>
      <c r="I119" s="228">
        <v>17</v>
      </c>
      <c r="J119" s="229">
        <v>57</v>
      </c>
      <c r="K119" s="204"/>
    </row>
    <row r="120" spans="1:11" s="90" customFormat="1"/>
    <row r="121" spans="1:11" s="90" customFormat="1">
      <c r="A121" s="303" t="s">
        <v>153</v>
      </c>
      <c r="B121" s="303"/>
      <c r="C121" s="303"/>
      <c r="D121" s="303"/>
      <c r="E121" s="303"/>
      <c r="F121" s="303"/>
      <c r="G121" s="303"/>
      <c r="H121" s="303"/>
      <c r="I121" s="303"/>
      <c r="J121" s="303"/>
      <c r="K121" s="204"/>
    </row>
    <row r="122" spans="1:11" s="90" customFormat="1">
      <c r="A122" s="304" t="s">
        <v>123</v>
      </c>
      <c r="B122" s="305"/>
      <c r="C122" s="305"/>
      <c r="D122" s="305"/>
      <c r="E122" s="305"/>
      <c r="F122" s="305"/>
      <c r="G122" s="305"/>
      <c r="H122" s="305"/>
      <c r="I122" s="305"/>
      <c r="J122" s="305"/>
      <c r="K122" s="204"/>
    </row>
    <row r="123" spans="1:11" s="90" customFormat="1">
      <c r="A123" s="314" t="s">
        <v>1</v>
      </c>
      <c r="B123" s="314"/>
      <c r="C123" s="316" t="s">
        <v>155</v>
      </c>
      <c r="D123" s="306" t="s">
        <v>156</v>
      </c>
      <c r="E123" s="306" t="s">
        <v>157</v>
      </c>
      <c r="F123" s="306" t="s">
        <v>158</v>
      </c>
      <c r="G123" s="306" t="s">
        <v>159</v>
      </c>
      <c r="H123" s="306"/>
      <c r="I123" s="306" t="s">
        <v>160</v>
      </c>
      <c r="J123" s="308" t="s">
        <v>161</v>
      </c>
      <c r="K123" s="204"/>
    </row>
    <row r="124" spans="1:11" s="90" customFormat="1" ht="24.75">
      <c r="A124" s="315"/>
      <c r="B124" s="315"/>
      <c r="C124" s="317"/>
      <c r="D124" s="307"/>
      <c r="E124" s="307"/>
      <c r="F124" s="307"/>
      <c r="G124" s="205" t="s">
        <v>162</v>
      </c>
      <c r="H124" s="205" t="s">
        <v>163</v>
      </c>
      <c r="I124" s="307"/>
      <c r="J124" s="309"/>
      <c r="K124" s="204"/>
    </row>
    <row r="125" spans="1:11" s="90" customFormat="1">
      <c r="A125" s="310" t="s">
        <v>9</v>
      </c>
      <c r="B125" s="206" t="s">
        <v>326</v>
      </c>
      <c r="C125" s="207">
        <v>36</v>
      </c>
      <c r="D125" s="208">
        <v>36.972222222222221</v>
      </c>
      <c r="E125" s="209">
        <v>8.7357593867672474</v>
      </c>
      <c r="F125" s="209">
        <v>1.4559598977945412</v>
      </c>
      <c r="G125" s="208">
        <v>34.01646649049534</v>
      </c>
      <c r="H125" s="208">
        <v>39.927977953949103</v>
      </c>
      <c r="I125" s="210">
        <v>16</v>
      </c>
      <c r="J125" s="211">
        <v>55</v>
      </c>
      <c r="K125" s="204"/>
    </row>
    <row r="126" spans="1:11" s="90" customFormat="1">
      <c r="A126" s="311"/>
      <c r="B126" s="212" t="s">
        <v>322</v>
      </c>
      <c r="C126" s="213">
        <v>6</v>
      </c>
      <c r="D126" s="214">
        <v>46.166666666666664</v>
      </c>
      <c r="E126" s="215">
        <v>5.6361925682739651</v>
      </c>
      <c r="F126" s="215">
        <v>2.3009659807229759</v>
      </c>
      <c r="G126" s="214">
        <v>40.251845312252122</v>
      </c>
      <c r="H126" s="214">
        <v>52.081488021081206</v>
      </c>
      <c r="I126" s="216">
        <v>40</v>
      </c>
      <c r="J126" s="217">
        <v>53</v>
      </c>
      <c r="K126" s="204"/>
    </row>
    <row r="127" spans="1:11" s="90" customFormat="1">
      <c r="A127" s="312"/>
      <c r="B127" s="218" t="s">
        <v>32</v>
      </c>
      <c r="C127" s="219">
        <v>42</v>
      </c>
      <c r="D127" s="220">
        <v>38.285714285714285</v>
      </c>
      <c r="E127" s="221">
        <v>8.9232109343997319</v>
      </c>
      <c r="F127" s="221">
        <v>1.3768813395962469</v>
      </c>
      <c r="G127" s="220">
        <v>35.505046008963873</v>
      </c>
      <c r="H127" s="220">
        <v>41.066382562464696</v>
      </c>
      <c r="I127" s="222">
        <v>16</v>
      </c>
      <c r="J127" s="223">
        <v>55</v>
      </c>
      <c r="K127" s="204"/>
    </row>
    <row r="128" spans="1:11" s="90" customFormat="1">
      <c r="A128" s="312" t="s">
        <v>10</v>
      </c>
      <c r="B128" s="212" t="s">
        <v>326</v>
      </c>
      <c r="C128" s="213">
        <v>43</v>
      </c>
      <c r="D128" s="214">
        <v>38.046511627906973</v>
      </c>
      <c r="E128" s="215">
        <v>10.567140191520245</v>
      </c>
      <c r="F128" s="215">
        <v>1.6114737717110437</v>
      </c>
      <c r="G128" s="214">
        <v>34.79442589464557</v>
      </c>
      <c r="H128" s="214">
        <v>41.298597361168376</v>
      </c>
      <c r="I128" s="216">
        <v>17</v>
      </c>
      <c r="J128" s="217">
        <v>57</v>
      </c>
      <c r="K128" s="204"/>
    </row>
    <row r="129" spans="1:11" s="90" customFormat="1">
      <c r="A129" s="311"/>
      <c r="B129" s="212" t="s">
        <v>322</v>
      </c>
      <c r="C129" s="213">
        <v>3</v>
      </c>
      <c r="D129" s="214">
        <v>51.666666666666664</v>
      </c>
      <c r="E129" s="215">
        <v>4.6188021535170058</v>
      </c>
      <c r="F129" s="215">
        <v>2.6666666666666665</v>
      </c>
      <c r="G129" s="214">
        <v>40.192926054001425</v>
      </c>
      <c r="H129" s="214">
        <v>63.140407279331903</v>
      </c>
      <c r="I129" s="216">
        <v>49</v>
      </c>
      <c r="J129" s="217">
        <v>57</v>
      </c>
      <c r="K129" s="204"/>
    </row>
    <row r="130" spans="1:11" s="90" customFormat="1">
      <c r="A130" s="313"/>
      <c r="B130" s="224" t="s">
        <v>32</v>
      </c>
      <c r="C130" s="225">
        <v>46</v>
      </c>
      <c r="D130" s="226">
        <v>38.934782608695649</v>
      </c>
      <c r="E130" s="227">
        <v>10.804118913971948</v>
      </c>
      <c r="F130" s="227">
        <v>1.5929804272061467</v>
      </c>
      <c r="G130" s="226">
        <v>35.7263553318394</v>
      </c>
      <c r="H130" s="226">
        <v>42.143209885551897</v>
      </c>
      <c r="I130" s="228">
        <v>17</v>
      </c>
      <c r="J130" s="229">
        <v>57</v>
      </c>
      <c r="K130" s="204"/>
    </row>
  </sheetData>
  <mergeCells count="150">
    <mergeCell ref="L100:N100"/>
    <mergeCell ref="L101:M101"/>
    <mergeCell ref="L102:L104"/>
    <mergeCell ref="L105:L107"/>
    <mergeCell ref="L108:N108"/>
    <mergeCell ref="L109:N109"/>
    <mergeCell ref="L72:N72"/>
    <mergeCell ref="L73:M73"/>
    <mergeCell ref="L74:L76"/>
    <mergeCell ref="L77:L79"/>
    <mergeCell ref="L80:N80"/>
    <mergeCell ref="L81:N81"/>
    <mergeCell ref="L86:N86"/>
    <mergeCell ref="L87:M87"/>
    <mergeCell ref="L88:L90"/>
    <mergeCell ref="L91:L93"/>
    <mergeCell ref="L94:N94"/>
    <mergeCell ref="L95:N95"/>
    <mergeCell ref="L60:N60"/>
    <mergeCell ref="L61:M61"/>
    <mergeCell ref="L62:L64"/>
    <mergeCell ref="L65:L67"/>
    <mergeCell ref="L68:N68"/>
    <mergeCell ref="L69:N69"/>
    <mergeCell ref="L53:N53"/>
    <mergeCell ref="L54:N54"/>
    <mergeCell ref="L4:N4"/>
    <mergeCell ref="L5:M5"/>
    <mergeCell ref="L6:L8"/>
    <mergeCell ref="L9:L11"/>
    <mergeCell ref="L12:N12"/>
    <mergeCell ref="L13:N13"/>
    <mergeCell ref="L37:N37"/>
    <mergeCell ref="L38:N38"/>
    <mergeCell ref="L45:N45"/>
    <mergeCell ref="L46:M46"/>
    <mergeCell ref="L47:L49"/>
    <mergeCell ref="L50:L52"/>
    <mergeCell ref="L29:N29"/>
    <mergeCell ref="L30:M30"/>
    <mergeCell ref="L31:L33"/>
    <mergeCell ref="L34:L36"/>
    <mergeCell ref="I123:I124"/>
    <mergeCell ref="J123:J124"/>
    <mergeCell ref="A125:A127"/>
    <mergeCell ref="A128:A130"/>
    <mergeCell ref="A123:B124"/>
    <mergeCell ref="C123:C124"/>
    <mergeCell ref="D123:D124"/>
    <mergeCell ref="E123:E124"/>
    <mergeCell ref="F123:F124"/>
    <mergeCell ref="G123:H123"/>
    <mergeCell ref="I112:I113"/>
    <mergeCell ref="J112:J113"/>
    <mergeCell ref="A114:A116"/>
    <mergeCell ref="A117:A119"/>
    <mergeCell ref="A121:J121"/>
    <mergeCell ref="A122:J122"/>
    <mergeCell ref="A112:B113"/>
    <mergeCell ref="C112:C113"/>
    <mergeCell ref="D112:D113"/>
    <mergeCell ref="E112:E113"/>
    <mergeCell ref="F112:F113"/>
    <mergeCell ref="G112:H112"/>
    <mergeCell ref="I100:I101"/>
    <mergeCell ref="J100:J101"/>
    <mergeCell ref="A102:A105"/>
    <mergeCell ref="A106:A108"/>
    <mergeCell ref="A110:J110"/>
    <mergeCell ref="A111:J111"/>
    <mergeCell ref="A100:B101"/>
    <mergeCell ref="C100:C101"/>
    <mergeCell ref="D100:D101"/>
    <mergeCell ref="E100:E101"/>
    <mergeCell ref="F100:F101"/>
    <mergeCell ref="G100:H100"/>
    <mergeCell ref="I85:I86"/>
    <mergeCell ref="J85:J86"/>
    <mergeCell ref="A87:A91"/>
    <mergeCell ref="A92:A96"/>
    <mergeCell ref="A98:J98"/>
    <mergeCell ref="A99:J99"/>
    <mergeCell ref="A85:B86"/>
    <mergeCell ref="C85:C86"/>
    <mergeCell ref="D85:D86"/>
    <mergeCell ref="E85:E86"/>
    <mergeCell ref="F85:F86"/>
    <mergeCell ref="G85:H85"/>
    <mergeCell ref="I73:I74"/>
    <mergeCell ref="J73:J74"/>
    <mergeCell ref="A75:A78"/>
    <mergeCell ref="A79:A81"/>
    <mergeCell ref="A83:J83"/>
    <mergeCell ref="A84:J84"/>
    <mergeCell ref="A73:B74"/>
    <mergeCell ref="C73:C74"/>
    <mergeCell ref="D73:D74"/>
    <mergeCell ref="E73:E74"/>
    <mergeCell ref="F73:F74"/>
    <mergeCell ref="G73:H73"/>
    <mergeCell ref="I59:I60"/>
    <mergeCell ref="J59:J60"/>
    <mergeCell ref="A61:A64"/>
    <mergeCell ref="A65:A69"/>
    <mergeCell ref="A71:J71"/>
    <mergeCell ref="A72:J72"/>
    <mergeCell ref="A59:B60"/>
    <mergeCell ref="C59:C60"/>
    <mergeCell ref="D59:D60"/>
    <mergeCell ref="E59:E60"/>
    <mergeCell ref="F59:F60"/>
    <mergeCell ref="G59:H59"/>
    <mergeCell ref="I44:I45"/>
    <mergeCell ref="J44:J45"/>
    <mergeCell ref="A46:A50"/>
    <mergeCell ref="A51:A55"/>
    <mergeCell ref="A57:J57"/>
    <mergeCell ref="A58:J58"/>
    <mergeCell ref="A44:B45"/>
    <mergeCell ref="C44:C45"/>
    <mergeCell ref="D44:D45"/>
    <mergeCell ref="E44:E45"/>
    <mergeCell ref="F44:F45"/>
    <mergeCell ref="G44:H44"/>
    <mergeCell ref="I29:I30"/>
    <mergeCell ref="J29:J30"/>
    <mergeCell ref="A31:A36"/>
    <mergeCell ref="A37:A40"/>
    <mergeCell ref="A42:J42"/>
    <mergeCell ref="A43:J43"/>
    <mergeCell ref="A5:A13"/>
    <mergeCell ref="A14:A22"/>
    <mergeCell ref="A27:J27"/>
    <mergeCell ref="A28:J28"/>
    <mergeCell ref="A29:B30"/>
    <mergeCell ref="C29:C30"/>
    <mergeCell ref="D29:D30"/>
    <mergeCell ref="E29:E30"/>
    <mergeCell ref="F29:F30"/>
    <mergeCell ref="G29:H29"/>
    <mergeCell ref="A1:J1"/>
    <mergeCell ref="A2:J2"/>
    <mergeCell ref="A3:B4"/>
    <mergeCell ref="C3:C4"/>
    <mergeCell ref="D3:D4"/>
    <mergeCell ref="E3:E4"/>
    <mergeCell ref="F3:F4"/>
    <mergeCell ref="G3:H3"/>
    <mergeCell ref="I3:I4"/>
    <mergeCell ref="J3:J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166"/>
  <sheetViews>
    <sheetView zoomScale="86" zoomScaleNormal="86" workbookViewId="0">
      <selection activeCell="O39" sqref="O39"/>
    </sheetView>
  </sheetViews>
  <sheetFormatPr baseColWidth="10" defaultRowHeight="15"/>
  <cols>
    <col min="1" max="1" width="11.42578125" customWidth="1"/>
    <col min="2" max="2" width="21.7109375" customWidth="1"/>
    <col min="3" max="10" width="11.42578125" customWidth="1"/>
    <col min="11" max="11" width="11.42578125" style="92" customWidth="1"/>
    <col min="12" max="12" width="11.42578125" customWidth="1"/>
    <col min="13" max="13" width="26.42578125" customWidth="1"/>
    <col min="14" max="21" width="11.42578125" customWidth="1"/>
    <col min="22" max="22" width="11.42578125" style="92" customWidth="1"/>
    <col min="23" max="23" width="11.42578125" customWidth="1"/>
    <col min="24" max="24" width="18.42578125" customWidth="1"/>
    <col min="25" max="32" width="11.42578125" customWidth="1"/>
    <col min="33" max="33" width="11.42578125" style="92" customWidth="1"/>
    <col min="34" max="43" width="11.42578125" customWidth="1"/>
    <col min="44" max="44" width="11.42578125" style="92" customWidth="1"/>
    <col min="45" max="54" width="11.42578125" customWidth="1"/>
  </cols>
  <sheetData>
    <row r="1" spans="1:65">
      <c r="A1" t="s">
        <v>153</v>
      </c>
      <c r="L1" t="s">
        <v>153</v>
      </c>
      <c r="W1" t="s">
        <v>153</v>
      </c>
      <c r="AH1" t="s">
        <v>153</v>
      </c>
      <c r="AS1" t="s">
        <v>153</v>
      </c>
    </row>
    <row r="2" spans="1:65">
      <c r="A2" t="s">
        <v>154</v>
      </c>
      <c r="L2" t="s">
        <v>184</v>
      </c>
      <c r="W2" t="s">
        <v>185</v>
      </c>
      <c r="AH2" t="s">
        <v>186</v>
      </c>
      <c r="AS2" t="s">
        <v>187</v>
      </c>
    </row>
    <row r="3" spans="1:65">
      <c r="A3" t="s">
        <v>1</v>
      </c>
      <c r="B3" s="90" t="s">
        <v>125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  <c r="L3" t="s">
        <v>1</v>
      </c>
      <c r="N3" t="s">
        <v>155</v>
      </c>
      <c r="O3" t="s">
        <v>156</v>
      </c>
      <c r="P3" t="s">
        <v>157</v>
      </c>
      <c r="Q3" t="s">
        <v>158</v>
      </c>
      <c r="R3" t="s">
        <v>159</v>
      </c>
      <c r="T3" t="s">
        <v>160</v>
      </c>
      <c r="U3" t="s">
        <v>161</v>
      </c>
      <c r="W3" t="s">
        <v>1</v>
      </c>
      <c r="X3" s="90"/>
      <c r="Y3" t="s">
        <v>155</v>
      </c>
      <c r="Z3" t="s">
        <v>156</v>
      </c>
      <c r="AA3" t="s">
        <v>157</v>
      </c>
      <c r="AB3" t="s">
        <v>158</v>
      </c>
      <c r="AC3" t="s">
        <v>159</v>
      </c>
      <c r="AE3" t="s">
        <v>160</v>
      </c>
      <c r="AF3" t="s">
        <v>161</v>
      </c>
      <c r="AH3" t="s">
        <v>1</v>
      </c>
      <c r="AJ3" t="s">
        <v>155</v>
      </c>
      <c r="AK3" t="s">
        <v>156</v>
      </c>
      <c r="AL3" t="s">
        <v>157</v>
      </c>
      <c r="AM3" t="s">
        <v>158</v>
      </c>
      <c r="AN3" t="s">
        <v>159</v>
      </c>
      <c r="AP3" t="s">
        <v>160</v>
      </c>
      <c r="AQ3" t="s">
        <v>161</v>
      </c>
      <c r="AS3" t="s">
        <v>1</v>
      </c>
      <c r="AU3" t="s">
        <v>155</v>
      </c>
      <c r="AV3" t="s">
        <v>156</v>
      </c>
      <c r="AW3" t="s">
        <v>157</v>
      </c>
      <c r="AX3" t="s">
        <v>158</v>
      </c>
      <c r="AY3" t="s">
        <v>159</v>
      </c>
      <c r="BA3" t="s">
        <v>160</v>
      </c>
      <c r="BB3" t="s">
        <v>161</v>
      </c>
      <c r="BD3" t="s">
        <v>192</v>
      </c>
    </row>
    <row r="4" spans="1:65">
      <c r="G4" t="s">
        <v>162</v>
      </c>
      <c r="H4" t="s">
        <v>163</v>
      </c>
      <c r="R4" t="s">
        <v>162</v>
      </c>
      <c r="S4" t="s">
        <v>163</v>
      </c>
      <c r="AC4" t="s">
        <v>162</v>
      </c>
      <c r="AD4" t="s">
        <v>163</v>
      </c>
      <c r="AN4" t="s">
        <v>162</v>
      </c>
      <c r="AO4" t="s">
        <v>163</v>
      </c>
      <c r="AY4" t="s">
        <v>162</v>
      </c>
      <c r="AZ4" t="s">
        <v>163</v>
      </c>
      <c r="BD4" t="s">
        <v>1</v>
      </c>
      <c r="BI4" t="s">
        <v>85</v>
      </c>
      <c r="BJ4" t="s">
        <v>193</v>
      </c>
      <c r="BK4" t="s">
        <v>194</v>
      </c>
      <c r="BL4" t="s">
        <v>195</v>
      </c>
    </row>
    <row r="5" spans="1:65">
      <c r="A5" t="s">
        <v>9</v>
      </c>
      <c r="B5" t="s">
        <v>167</v>
      </c>
      <c r="C5">
        <v>26</v>
      </c>
      <c r="D5">
        <v>28.42</v>
      </c>
      <c r="E5">
        <v>7.4359999999999999</v>
      </c>
      <c r="F5">
        <v>1.458</v>
      </c>
      <c r="G5">
        <v>25.42</v>
      </c>
      <c r="H5">
        <v>31.43</v>
      </c>
      <c r="I5">
        <v>8</v>
      </c>
      <c r="J5">
        <v>36</v>
      </c>
      <c r="L5" t="s">
        <v>9</v>
      </c>
      <c r="M5" t="s">
        <v>167</v>
      </c>
      <c r="N5">
        <v>26</v>
      </c>
      <c r="O5">
        <v>19.46</v>
      </c>
      <c r="P5">
        <v>9.109</v>
      </c>
      <c r="Q5">
        <v>1.786</v>
      </c>
      <c r="R5">
        <v>15.78</v>
      </c>
      <c r="S5">
        <v>23.14</v>
      </c>
      <c r="T5">
        <v>5</v>
      </c>
      <c r="U5">
        <v>34</v>
      </c>
      <c r="W5" t="s">
        <v>9</v>
      </c>
      <c r="X5" t="s">
        <v>167</v>
      </c>
      <c r="Y5">
        <v>26</v>
      </c>
      <c r="Z5">
        <v>15.69</v>
      </c>
      <c r="AA5">
        <v>4.7389999999999999</v>
      </c>
      <c r="AB5">
        <v>0.92900000000000005</v>
      </c>
      <c r="AC5">
        <v>13.78</v>
      </c>
      <c r="AD5">
        <v>17.61</v>
      </c>
      <c r="AE5">
        <v>8</v>
      </c>
      <c r="AF5">
        <v>26</v>
      </c>
      <c r="AH5" t="s">
        <v>9</v>
      </c>
      <c r="AI5" t="s">
        <v>167</v>
      </c>
      <c r="AJ5">
        <v>26</v>
      </c>
      <c r="AK5">
        <v>6.54</v>
      </c>
      <c r="AL5">
        <v>2.702</v>
      </c>
      <c r="AM5">
        <v>0.53</v>
      </c>
      <c r="AN5">
        <v>5.45</v>
      </c>
      <c r="AO5">
        <v>7.63</v>
      </c>
      <c r="AP5">
        <v>1</v>
      </c>
      <c r="AQ5">
        <v>12</v>
      </c>
      <c r="AS5" t="s">
        <v>9</v>
      </c>
      <c r="AT5" t="s">
        <v>167</v>
      </c>
      <c r="AU5">
        <v>26</v>
      </c>
      <c r="AV5">
        <v>10.81</v>
      </c>
      <c r="AW5">
        <v>1.234</v>
      </c>
      <c r="AX5">
        <v>0.24199999999999999</v>
      </c>
      <c r="AY5">
        <v>10.31</v>
      </c>
      <c r="AZ5">
        <v>11.31</v>
      </c>
      <c r="BA5">
        <v>8</v>
      </c>
      <c r="BB5">
        <v>12</v>
      </c>
      <c r="BD5" t="s">
        <v>9</v>
      </c>
      <c r="BI5">
        <v>42</v>
      </c>
      <c r="BJ5">
        <v>42</v>
      </c>
      <c r="BK5">
        <v>42</v>
      </c>
      <c r="BL5">
        <v>42</v>
      </c>
    </row>
    <row r="6" spans="1:65">
      <c r="B6" t="s">
        <v>168</v>
      </c>
      <c r="C6">
        <v>11</v>
      </c>
      <c r="D6">
        <v>27.45</v>
      </c>
      <c r="E6">
        <v>9.1140000000000008</v>
      </c>
      <c r="F6">
        <v>2.7480000000000002</v>
      </c>
      <c r="G6">
        <v>21.33</v>
      </c>
      <c r="H6">
        <v>33.58</v>
      </c>
      <c r="I6">
        <v>5</v>
      </c>
      <c r="J6">
        <v>36</v>
      </c>
      <c r="M6" t="s">
        <v>168</v>
      </c>
      <c r="N6">
        <v>11</v>
      </c>
      <c r="O6">
        <v>20.18</v>
      </c>
      <c r="P6">
        <v>10.108000000000001</v>
      </c>
      <c r="Q6">
        <v>3.048</v>
      </c>
      <c r="R6">
        <v>13.39</v>
      </c>
      <c r="S6">
        <v>26.97</v>
      </c>
      <c r="T6">
        <v>0</v>
      </c>
      <c r="U6">
        <v>32</v>
      </c>
      <c r="X6" t="s">
        <v>168</v>
      </c>
      <c r="Y6">
        <v>11</v>
      </c>
      <c r="Z6">
        <v>17.36</v>
      </c>
      <c r="AA6">
        <v>4.9850000000000003</v>
      </c>
      <c r="AB6">
        <v>1.5029999999999999</v>
      </c>
      <c r="AC6">
        <v>14.01</v>
      </c>
      <c r="AD6">
        <v>20.71</v>
      </c>
      <c r="AE6">
        <v>10</v>
      </c>
      <c r="AF6">
        <v>26</v>
      </c>
      <c r="AI6" t="s">
        <v>168</v>
      </c>
      <c r="AJ6">
        <v>11</v>
      </c>
      <c r="AK6">
        <v>8.36</v>
      </c>
      <c r="AL6">
        <v>1.748</v>
      </c>
      <c r="AM6">
        <v>0.52700000000000002</v>
      </c>
      <c r="AN6">
        <v>7.19</v>
      </c>
      <c r="AO6">
        <v>9.5399999999999991</v>
      </c>
      <c r="AP6">
        <v>5</v>
      </c>
      <c r="AQ6">
        <v>11</v>
      </c>
      <c r="AT6" t="s">
        <v>168</v>
      </c>
      <c r="AU6">
        <v>11</v>
      </c>
      <c r="AV6">
        <v>10.91</v>
      </c>
      <c r="AW6">
        <v>1.2210000000000001</v>
      </c>
      <c r="AX6">
        <v>0.36799999999999999</v>
      </c>
      <c r="AY6">
        <v>10.09</v>
      </c>
      <c r="AZ6">
        <v>11.73</v>
      </c>
      <c r="BA6">
        <v>9</v>
      </c>
      <c r="BB6">
        <v>12</v>
      </c>
      <c r="BI6">
        <v>1.31</v>
      </c>
      <c r="BJ6">
        <v>1.619</v>
      </c>
      <c r="BK6">
        <v>2.5476000000000001</v>
      </c>
      <c r="BL6">
        <v>3.5952000000000002</v>
      </c>
    </row>
    <row r="7" spans="1:65">
      <c r="B7" t="s">
        <v>169</v>
      </c>
      <c r="C7">
        <v>3</v>
      </c>
      <c r="D7">
        <v>26</v>
      </c>
      <c r="E7">
        <v>8.718</v>
      </c>
      <c r="F7">
        <v>5.0330000000000004</v>
      </c>
      <c r="G7">
        <v>4.34</v>
      </c>
      <c r="H7">
        <v>47.66</v>
      </c>
      <c r="I7">
        <v>20</v>
      </c>
      <c r="J7">
        <v>36</v>
      </c>
      <c r="M7" t="s">
        <v>169</v>
      </c>
      <c r="N7">
        <v>3</v>
      </c>
      <c r="O7">
        <v>14.67</v>
      </c>
      <c r="P7">
        <v>7.3710000000000004</v>
      </c>
      <c r="Q7">
        <v>4.2560000000000002</v>
      </c>
      <c r="R7">
        <v>-3.64</v>
      </c>
      <c r="S7">
        <v>32.979999999999997</v>
      </c>
      <c r="T7">
        <v>9</v>
      </c>
      <c r="U7">
        <v>23</v>
      </c>
      <c r="X7" t="s">
        <v>169</v>
      </c>
      <c r="Y7">
        <v>3</v>
      </c>
      <c r="Z7">
        <v>15.33</v>
      </c>
      <c r="AA7">
        <v>5.859</v>
      </c>
      <c r="AB7">
        <v>3.383</v>
      </c>
      <c r="AC7">
        <v>0.78</v>
      </c>
      <c r="AD7">
        <v>29.89</v>
      </c>
      <c r="AE7">
        <v>11</v>
      </c>
      <c r="AF7">
        <v>22</v>
      </c>
      <c r="AI7" t="s">
        <v>169</v>
      </c>
      <c r="AJ7">
        <v>3</v>
      </c>
      <c r="AK7">
        <v>7</v>
      </c>
      <c r="AL7">
        <v>1.732</v>
      </c>
      <c r="AM7">
        <v>1</v>
      </c>
      <c r="AN7">
        <v>2.7</v>
      </c>
      <c r="AO7">
        <v>11.3</v>
      </c>
      <c r="AP7">
        <v>5</v>
      </c>
      <c r="AQ7">
        <v>8</v>
      </c>
      <c r="AT7" t="s">
        <v>169</v>
      </c>
      <c r="AU7">
        <v>3</v>
      </c>
      <c r="AV7">
        <v>11</v>
      </c>
      <c r="AW7">
        <v>1.732</v>
      </c>
      <c r="AX7">
        <v>1</v>
      </c>
      <c r="AY7">
        <v>6.7</v>
      </c>
      <c r="AZ7">
        <v>15.3</v>
      </c>
      <c r="BA7">
        <v>9</v>
      </c>
      <c r="BB7">
        <v>12</v>
      </c>
      <c r="BI7">
        <v>0.56299999999999994</v>
      </c>
      <c r="BJ7">
        <v>1.0809299999999999</v>
      </c>
      <c r="BK7">
        <v>0.80250999999999995</v>
      </c>
      <c r="BL7">
        <v>2.2202999999999999</v>
      </c>
    </row>
    <row r="8" spans="1:65">
      <c r="B8" t="s">
        <v>170</v>
      </c>
      <c r="C8">
        <v>1</v>
      </c>
      <c r="D8">
        <v>32</v>
      </c>
      <c r="E8" t="s">
        <v>150</v>
      </c>
      <c r="F8" t="s">
        <v>150</v>
      </c>
      <c r="G8" t="s">
        <v>150</v>
      </c>
      <c r="H8" t="s">
        <v>150</v>
      </c>
      <c r="I8">
        <v>32</v>
      </c>
      <c r="J8">
        <v>32</v>
      </c>
      <c r="M8" t="s">
        <v>170</v>
      </c>
      <c r="N8">
        <v>1</v>
      </c>
      <c r="O8">
        <v>27</v>
      </c>
      <c r="P8" t="s">
        <v>150</v>
      </c>
      <c r="Q8" t="s">
        <v>150</v>
      </c>
      <c r="R8" t="s">
        <v>150</v>
      </c>
      <c r="S8" t="s">
        <v>150</v>
      </c>
      <c r="T8">
        <v>27</v>
      </c>
      <c r="U8">
        <v>27</v>
      </c>
      <c r="X8" t="s">
        <v>170</v>
      </c>
      <c r="Y8">
        <v>1</v>
      </c>
      <c r="Z8">
        <v>20</v>
      </c>
      <c r="AA8" t="s">
        <v>150</v>
      </c>
      <c r="AB8" t="s">
        <v>150</v>
      </c>
      <c r="AC8" t="s">
        <v>150</v>
      </c>
      <c r="AD8" t="s">
        <v>150</v>
      </c>
      <c r="AE8">
        <v>20</v>
      </c>
      <c r="AF8">
        <v>20</v>
      </c>
      <c r="AI8" t="s">
        <v>170</v>
      </c>
      <c r="AJ8">
        <v>1</v>
      </c>
      <c r="AK8">
        <v>9</v>
      </c>
      <c r="AL8" t="s">
        <v>150</v>
      </c>
      <c r="AM8" t="s">
        <v>150</v>
      </c>
      <c r="AN8" t="s">
        <v>150</v>
      </c>
      <c r="AO8" t="s">
        <v>150</v>
      </c>
      <c r="AP8">
        <v>9</v>
      </c>
      <c r="AQ8">
        <v>9</v>
      </c>
      <c r="AT8" t="s">
        <v>170</v>
      </c>
      <c r="AU8">
        <v>1</v>
      </c>
      <c r="AV8">
        <v>11</v>
      </c>
      <c r="AW8" t="s">
        <v>150</v>
      </c>
      <c r="AX8" t="s">
        <v>150</v>
      </c>
      <c r="AY8" t="s">
        <v>150</v>
      </c>
      <c r="AZ8" t="s">
        <v>150</v>
      </c>
      <c r="BA8">
        <v>11</v>
      </c>
      <c r="BB8">
        <v>11</v>
      </c>
      <c r="BI8">
        <v>0.44700000000000001</v>
      </c>
      <c r="BJ8">
        <v>0.33600000000000002</v>
      </c>
      <c r="BK8">
        <v>0.309</v>
      </c>
      <c r="BL8">
        <v>0.21299999999999999</v>
      </c>
    </row>
    <row r="9" spans="1:65">
      <c r="B9" t="s">
        <v>171</v>
      </c>
      <c r="C9">
        <v>1</v>
      </c>
      <c r="D9">
        <v>32</v>
      </c>
      <c r="E9" t="s">
        <v>150</v>
      </c>
      <c r="F9" t="s">
        <v>150</v>
      </c>
      <c r="G9" t="s">
        <v>150</v>
      </c>
      <c r="H9" t="s">
        <v>150</v>
      </c>
      <c r="I9">
        <v>32</v>
      </c>
      <c r="J9">
        <v>32</v>
      </c>
      <c r="M9" t="s">
        <v>171</v>
      </c>
      <c r="N9">
        <v>1</v>
      </c>
      <c r="O9">
        <v>22</v>
      </c>
      <c r="P9" t="s">
        <v>150</v>
      </c>
      <c r="Q9" t="s">
        <v>150</v>
      </c>
      <c r="R9" t="s">
        <v>150</v>
      </c>
      <c r="S9" t="s">
        <v>150</v>
      </c>
      <c r="T9">
        <v>22</v>
      </c>
      <c r="U9">
        <v>22</v>
      </c>
      <c r="X9" t="s">
        <v>171</v>
      </c>
      <c r="Y9">
        <v>1</v>
      </c>
      <c r="Z9">
        <v>14</v>
      </c>
      <c r="AA9" t="s">
        <v>150</v>
      </c>
      <c r="AB9" t="s">
        <v>150</v>
      </c>
      <c r="AC9" t="s">
        <v>150</v>
      </c>
      <c r="AD9" t="s">
        <v>150</v>
      </c>
      <c r="AE9">
        <v>14</v>
      </c>
      <c r="AF9">
        <v>14</v>
      </c>
      <c r="AI9" t="s">
        <v>171</v>
      </c>
      <c r="AJ9">
        <v>1</v>
      </c>
      <c r="AK9">
        <v>8</v>
      </c>
      <c r="AL9" t="s">
        <v>150</v>
      </c>
      <c r="AM9" t="s">
        <v>150</v>
      </c>
      <c r="AN9" t="s">
        <v>150</v>
      </c>
      <c r="AO9" t="s">
        <v>150</v>
      </c>
      <c r="AP9">
        <v>8</v>
      </c>
      <c r="AQ9">
        <v>8</v>
      </c>
      <c r="AT9" t="s">
        <v>171</v>
      </c>
      <c r="AU9">
        <v>1</v>
      </c>
      <c r="AV9">
        <v>11</v>
      </c>
      <c r="AW9" t="s">
        <v>150</v>
      </c>
      <c r="AX9" t="s">
        <v>150</v>
      </c>
      <c r="AY9" t="s">
        <v>150</v>
      </c>
      <c r="AZ9" t="s">
        <v>150</v>
      </c>
      <c r="BA9">
        <v>11</v>
      </c>
      <c r="BB9">
        <v>11</v>
      </c>
      <c r="BI9">
        <v>0.44700000000000001</v>
      </c>
      <c r="BJ9">
        <v>0.33600000000000002</v>
      </c>
      <c r="BK9">
        <v>0.215</v>
      </c>
      <c r="BL9">
        <v>0.21299999999999999</v>
      </c>
    </row>
    <row r="10" spans="1:65">
      <c r="B10" s="35" t="s">
        <v>32</v>
      </c>
      <c r="C10">
        <v>42</v>
      </c>
      <c r="D10">
        <v>28.17</v>
      </c>
      <c r="E10">
        <v>7.6760000000000002</v>
      </c>
      <c r="F10">
        <v>1.1839999999999999</v>
      </c>
      <c r="G10">
        <v>25.77</v>
      </c>
      <c r="H10">
        <v>30.56</v>
      </c>
      <c r="I10">
        <v>5</v>
      </c>
      <c r="J10">
        <v>36</v>
      </c>
      <c r="M10" t="s">
        <v>32</v>
      </c>
      <c r="N10">
        <v>42</v>
      </c>
      <c r="O10">
        <v>19.55</v>
      </c>
      <c r="P10">
        <v>9.0289999999999999</v>
      </c>
      <c r="Q10">
        <v>1.393</v>
      </c>
      <c r="R10">
        <v>16.73</v>
      </c>
      <c r="S10">
        <v>22.36</v>
      </c>
      <c r="T10">
        <v>0</v>
      </c>
      <c r="U10">
        <v>34</v>
      </c>
      <c r="X10" t="s">
        <v>32</v>
      </c>
      <c r="Y10">
        <v>42</v>
      </c>
      <c r="Z10">
        <v>16.170000000000002</v>
      </c>
      <c r="AA10">
        <v>4.742</v>
      </c>
      <c r="AB10">
        <v>0.73199999999999998</v>
      </c>
      <c r="AC10">
        <v>14.69</v>
      </c>
      <c r="AD10">
        <v>17.64</v>
      </c>
      <c r="AE10">
        <v>8</v>
      </c>
      <c r="AF10">
        <v>26</v>
      </c>
      <c r="AI10" t="s">
        <v>32</v>
      </c>
      <c r="AJ10">
        <v>42</v>
      </c>
      <c r="AK10">
        <v>7.14</v>
      </c>
      <c r="AL10">
        <v>2.4649999999999999</v>
      </c>
      <c r="AM10">
        <v>0.38</v>
      </c>
      <c r="AN10">
        <v>6.37</v>
      </c>
      <c r="AO10">
        <v>7.91</v>
      </c>
      <c r="AP10">
        <v>1</v>
      </c>
      <c r="AQ10">
        <v>12</v>
      </c>
      <c r="AT10" t="s">
        <v>32</v>
      </c>
      <c r="AU10">
        <v>42</v>
      </c>
      <c r="AV10">
        <v>10.86</v>
      </c>
      <c r="AW10">
        <v>1.2010000000000001</v>
      </c>
      <c r="AX10">
        <v>0.185</v>
      </c>
      <c r="AY10">
        <v>10.48</v>
      </c>
      <c r="AZ10">
        <v>11.23</v>
      </c>
      <c r="BA10">
        <v>8</v>
      </c>
      <c r="BB10">
        <v>12</v>
      </c>
      <c r="BI10">
        <v>-0.29099999999999998</v>
      </c>
      <c r="BJ10">
        <v>-0.28299999999999997</v>
      </c>
      <c r="BK10">
        <v>-0.309</v>
      </c>
      <c r="BL10">
        <v>-0.121</v>
      </c>
    </row>
    <row r="11" spans="1:65">
      <c r="A11" t="s">
        <v>10</v>
      </c>
      <c r="B11" s="35" t="s">
        <v>167</v>
      </c>
      <c r="C11">
        <v>36</v>
      </c>
      <c r="D11">
        <v>24.42</v>
      </c>
      <c r="E11">
        <v>9.3550000000000004</v>
      </c>
      <c r="F11">
        <v>1.5589999999999999</v>
      </c>
      <c r="G11">
        <v>21.25</v>
      </c>
      <c r="H11">
        <v>27.58</v>
      </c>
      <c r="I11">
        <v>3</v>
      </c>
      <c r="J11">
        <v>36</v>
      </c>
      <c r="L11" t="s">
        <v>10</v>
      </c>
      <c r="M11" t="s">
        <v>167</v>
      </c>
      <c r="N11">
        <v>36</v>
      </c>
      <c r="O11">
        <v>14.78</v>
      </c>
      <c r="P11">
        <v>7.6120000000000001</v>
      </c>
      <c r="Q11">
        <v>1.2689999999999999</v>
      </c>
      <c r="R11">
        <v>12.2</v>
      </c>
      <c r="S11">
        <v>17.350000000000001</v>
      </c>
      <c r="T11">
        <v>3</v>
      </c>
      <c r="U11">
        <v>32</v>
      </c>
      <c r="W11" t="s">
        <v>10</v>
      </c>
      <c r="X11" t="s">
        <v>167</v>
      </c>
      <c r="Y11">
        <v>36</v>
      </c>
      <c r="Z11">
        <v>14.64</v>
      </c>
      <c r="AA11">
        <v>4.8230000000000004</v>
      </c>
      <c r="AB11">
        <v>0.80400000000000005</v>
      </c>
      <c r="AC11">
        <v>13.01</v>
      </c>
      <c r="AD11">
        <v>16.27</v>
      </c>
      <c r="AE11">
        <v>7</v>
      </c>
      <c r="AF11">
        <v>24</v>
      </c>
      <c r="AH11" t="s">
        <v>10</v>
      </c>
      <c r="AI11" t="s">
        <v>167</v>
      </c>
      <c r="AJ11">
        <v>36</v>
      </c>
      <c r="AK11">
        <v>7.06</v>
      </c>
      <c r="AL11">
        <v>2.5059999999999998</v>
      </c>
      <c r="AM11">
        <v>0.41799999999999998</v>
      </c>
      <c r="AN11">
        <v>6.21</v>
      </c>
      <c r="AO11">
        <v>7.9</v>
      </c>
      <c r="AP11">
        <v>1</v>
      </c>
      <c r="AQ11">
        <v>12</v>
      </c>
      <c r="AS11" t="s">
        <v>10</v>
      </c>
      <c r="AT11" t="s">
        <v>167</v>
      </c>
      <c r="AU11">
        <v>36</v>
      </c>
      <c r="AV11">
        <v>10.64</v>
      </c>
      <c r="AW11">
        <v>1.839</v>
      </c>
      <c r="AX11">
        <v>0.30599999999999999</v>
      </c>
      <c r="AY11">
        <v>10.02</v>
      </c>
      <c r="AZ11">
        <v>11.26</v>
      </c>
      <c r="BA11">
        <v>5</v>
      </c>
      <c r="BB11">
        <v>12</v>
      </c>
      <c r="BI11">
        <v>0.44700000000000001</v>
      </c>
      <c r="BJ11">
        <v>0.33600000000000002</v>
      </c>
      <c r="BK11">
        <v>0.309</v>
      </c>
      <c r="BL11">
        <v>0.21299999999999999</v>
      </c>
    </row>
    <row r="12" spans="1:65">
      <c r="B12" s="35" t="s">
        <v>168</v>
      </c>
      <c r="C12">
        <v>8</v>
      </c>
      <c r="D12">
        <v>26.38</v>
      </c>
      <c r="E12">
        <v>9.9849999999999994</v>
      </c>
      <c r="F12">
        <v>3.53</v>
      </c>
      <c r="G12">
        <v>18.03</v>
      </c>
      <c r="H12">
        <v>34.72</v>
      </c>
      <c r="I12">
        <v>12</v>
      </c>
      <c r="J12">
        <v>36</v>
      </c>
      <c r="M12" t="s">
        <v>168</v>
      </c>
      <c r="N12">
        <v>8</v>
      </c>
      <c r="O12">
        <v>16.88</v>
      </c>
      <c r="P12">
        <v>10.48</v>
      </c>
      <c r="Q12">
        <v>3.7050000000000001</v>
      </c>
      <c r="R12">
        <v>8.11</v>
      </c>
      <c r="S12">
        <v>25.64</v>
      </c>
      <c r="T12">
        <v>8</v>
      </c>
      <c r="U12">
        <v>32</v>
      </c>
      <c r="X12" t="s">
        <v>168</v>
      </c>
      <c r="Y12">
        <v>8</v>
      </c>
      <c r="Z12">
        <v>13.88</v>
      </c>
      <c r="AA12">
        <v>4.3899999999999997</v>
      </c>
      <c r="AB12">
        <v>1.552</v>
      </c>
      <c r="AC12">
        <v>10.210000000000001</v>
      </c>
      <c r="AD12">
        <v>17.54</v>
      </c>
      <c r="AE12">
        <v>10</v>
      </c>
      <c r="AF12">
        <v>21</v>
      </c>
      <c r="AI12" t="s">
        <v>168</v>
      </c>
      <c r="AJ12">
        <v>8</v>
      </c>
      <c r="AK12">
        <v>6.75</v>
      </c>
      <c r="AL12">
        <v>1.669</v>
      </c>
      <c r="AM12">
        <v>0.59</v>
      </c>
      <c r="AN12">
        <v>5.35</v>
      </c>
      <c r="AO12">
        <v>8.15</v>
      </c>
      <c r="AP12">
        <v>4</v>
      </c>
      <c r="AQ12">
        <v>9</v>
      </c>
      <c r="AT12" t="s">
        <v>168</v>
      </c>
      <c r="AU12">
        <v>8</v>
      </c>
      <c r="AV12">
        <v>10.63</v>
      </c>
      <c r="AW12">
        <v>1.506</v>
      </c>
      <c r="AX12">
        <v>0.53200000000000003</v>
      </c>
      <c r="AY12">
        <v>9.3699999999999992</v>
      </c>
      <c r="AZ12">
        <v>11.88</v>
      </c>
      <c r="BA12">
        <v>8</v>
      </c>
      <c r="BB12">
        <v>12</v>
      </c>
      <c r="BE12" s="90"/>
      <c r="BF12" s="90"/>
      <c r="BG12" s="90"/>
      <c r="BH12" s="90"/>
      <c r="BI12" s="90" t="s">
        <v>196</v>
      </c>
      <c r="BJ12" s="90" t="s">
        <v>196</v>
      </c>
      <c r="BK12" s="90" t="s">
        <v>196</v>
      </c>
      <c r="BL12" s="90" t="s">
        <v>196</v>
      </c>
      <c r="BM12" s="90" t="s">
        <v>201</v>
      </c>
    </row>
    <row r="13" spans="1:65">
      <c r="B13" s="35" t="s">
        <v>169</v>
      </c>
      <c r="C13">
        <v>2</v>
      </c>
      <c r="D13">
        <v>25.5</v>
      </c>
      <c r="E13">
        <v>6.3639999999999999</v>
      </c>
      <c r="F13">
        <v>4.5</v>
      </c>
      <c r="G13">
        <v>-31.68</v>
      </c>
      <c r="H13">
        <v>82.68</v>
      </c>
      <c r="I13">
        <v>21</v>
      </c>
      <c r="J13">
        <v>30</v>
      </c>
      <c r="M13" t="s">
        <v>169</v>
      </c>
      <c r="N13">
        <v>2</v>
      </c>
      <c r="O13">
        <v>13</v>
      </c>
      <c r="P13">
        <v>1.4139999999999999</v>
      </c>
      <c r="Q13">
        <v>1</v>
      </c>
      <c r="R13">
        <v>0.28999999999999998</v>
      </c>
      <c r="S13">
        <v>25.71</v>
      </c>
      <c r="T13">
        <v>12</v>
      </c>
      <c r="U13">
        <v>14</v>
      </c>
      <c r="X13" t="s">
        <v>169</v>
      </c>
      <c r="Y13">
        <v>2</v>
      </c>
      <c r="Z13">
        <v>15.5</v>
      </c>
      <c r="AA13">
        <v>3.536</v>
      </c>
      <c r="AB13">
        <v>2.5</v>
      </c>
      <c r="AC13">
        <v>-16.27</v>
      </c>
      <c r="AD13">
        <v>47.27</v>
      </c>
      <c r="AE13">
        <v>13</v>
      </c>
      <c r="AF13">
        <v>18</v>
      </c>
      <c r="AI13" t="s">
        <v>169</v>
      </c>
      <c r="AJ13">
        <v>2</v>
      </c>
      <c r="AK13">
        <v>5.5</v>
      </c>
      <c r="AL13">
        <v>2.121</v>
      </c>
      <c r="AM13">
        <v>1.5</v>
      </c>
      <c r="AN13">
        <v>-13.56</v>
      </c>
      <c r="AO13">
        <v>24.56</v>
      </c>
      <c r="AP13">
        <v>4</v>
      </c>
      <c r="AQ13">
        <v>7</v>
      </c>
      <c r="AT13" t="s">
        <v>169</v>
      </c>
      <c r="AU13">
        <v>2</v>
      </c>
      <c r="AV13">
        <v>10.5</v>
      </c>
      <c r="AW13">
        <v>0.70699999999999996</v>
      </c>
      <c r="AX13">
        <v>0.5</v>
      </c>
      <c r="AY13">
        <v>4.1500000000000004</v>
      </c>
      <c r="AZ13">
        <v>16.850000000000001</v>
      </c>
      <c r="BA13">
        <v>10</v>
      </c>
      <c r="BB13">
        <v>11</v>
      </c>
      <c r="BD13" t="s">
        <v>10</v>
      </c>
      <c r="BI13">
        <v>46</v>
      </c>
      <c r="BJ13">
        <v>46</v>
      </c>
      <c r="BK13">
        <v>46</v>
      </c>
      <c r="BL13">
        <v>46</v>
      </c>
    </row>
    <row r="14" spans="1:65">
      <c r="B14" t="s">
        <v>32</v>
      </c>
      <c r="C14">
        <v>46</v>
      </c>
      <c r="D14">
        <v>24.8</v>
      </c>
      <c r="E14">
        <v>9.2219999999999995</v>
      </c>
      <c r="F14">
        <v>1.36</v>
      </c>
      <c r="G14">
        <v>22.07</v>
      </c>
      <c r="H14">
        <v>27.54</v>
      </c>
      <c r="I14">
        <v>3</v>
      </c>
      <c r="J14">
        <v>36</v>
      </c>
      <c r="M14" t="s">
        <v>32</v>
      </c>
      <c r="N14">
        <v>46</v>
      </c>
      <c r="O14">
        <v>15.07</v>
      </c>
      <c r="P14">
        <v>7.94</v>
      </c>
      <c r="Q14">
        <v>1.171</v>
      </c>
      <c r="R14">
        <v>12.71</v>
      </c>
      <c r="S14">
        <v>17.420000000000002</v>
      </c>
      <c r="T14">
        <v>3</v>
      </c>
      <c r="U14">
        <v>32</v>
      </c>
      <c r="X14" t="s">
        <v>32</v>
      </c>
      <c r="Y14">
        <v>46</v>
      </c>
      <c r="Z14">
        <v>14.54</v>
      </c>
      <c r="AA14">
        <v>4.6369999999999996</v>
      </c>
      <c r="AB14">
        <v>0.68400000000000005</v>
      </c>
      <c r="AC14">
        <v>13.17</v>
      </c>
      <c r="AD14">
        <v>15.92</v>
      </c>
      <c r="AE14">
        <v>7</v>
      </c>
      <c r="AF14">
        <v>24</v>
      </c>
      <c r="AI14" t="s">
        <v>32</v>
      </c>
      <c r="AJ14">
        <v>46</v>
      </c>
      <c r="AK14">
        <v>6.93</v>
      </c>
      <c r="AL14">
        <v>2.351</v>
      </c>
      <c r="AM14">
        <v>0.34699999999999998</v>
      </c>
      <c r="AN14">
        <v>6.24</v>
      </c>
      <c r="AO14">
        <v>7.63</v>
      </c>
      <c r="AP14">
        <v>1</v>
      </c>
      <c r="AQ14">
        <v>12</v>
      </c>
      <c r="AT14" t="s">
        <v>32</v>
      </c>
      <c r="AU14">
        <v>46</v>
      </c>
      <c r="AV14">
        <v>10.63</v>
      </c>
      <c r="AW14">
        <v>1.73</v>
      </c>
      <c r="AX14">
        <v>0.255</v>
      </c>
      <c r="AY14">
        <v>10.119999999999999</v>
      </c>
      <c r="AZ14">
        <v>11.14</v>
      </c>
      <c r="BA14">
        <v>5</v>
      </c>
      <c r="BB14">
        <v>12</v>
      </c>
      <c r="BI14">
        <v>1.2</v>
      </c>
      <c r="BJ14">
        <v>1.2608999999999999</v>
      </c>
      <c r="BK14">
        <v>2.1957</v>
      </c>
      <c r="BL14">
        <v>3.7608999999999999</v>
      </c>
    </row>
    <row r="15" spans="1:65">
      <c r="BI15">
        <v>0.40100000000000002</v>
      </c>
      <c r="BJ15">
        <v>0.53478000000000003</v>
      </c>
      <c r="BK15">
        <v>0.83318999999999999</v>
      </c>
      <c r="BL15">
        <v>2.1206399999999999</v>
      </c>
    </row>
    <row r="16" spans="1:65">
      <c r="BI16">
        <v>0.49199999999999999</v>
      </c>
      <c r="BJ16">
        <v>0.47</v>
      </c>
      <c r="BK16">
        <v>0.246</v>
      </c>
      <c r="BL16">
        <v>0.151</v>
      </c>
    </row>
    <row r="17" spans="1:64">
      <c r="A17" t="s">
        <v>153</v>
      </c>
      <c r="L17" t="s">
        <v>153</v>
      </c>
      <c r="W17" t="s">
        <v>153</v>
      </c>
      <c r="AH17" t="s">
        <v>153</v>
      </c>
      <c r="AS17" t="s">
        <v>153</v>
      </c>
      <c r="BI17">
        <v>0.49199999999999999</v>
      </c>
      <c r="BJ17">
        <v>0.47</v>
      </c>
      <c r="BK17">
        <v>0.18</v>
      </c>
      <c r="BL17">
        <v>0.151</v>
      </c>
    </row>
    <row r="18" spans="1:64">
      <c r="A18" t="s">
        <v>154</v>
      </c>
      <c r="L18" t="s">
        <v>184</v>
      </c>
      <c r="W18" t="s">
        <v>185</v>
      </c>
      <c r="AH18" t="s">
        <v>186</v>
      </c>
      <c r="AS18" t="s">
        <v>187</v>
      </c>
      <c r="BI18">
        <v>-0.313</v>
      </c>
      <c r="BJ18">
        <v>-0.313</v>
      </c>
      <c r="BK18">
        <v>-0.246</v>
      </c>
      <c r="BL18">
        <v>-9.6000000000000002E-2</v>
      </c>
    </row>
    <row r="19" spans="1:64">
      <c r="A19" t="s">
        <v>1</v>
      </c>
      <c r="B19" s="90" t="s">
        <v>58</v>
      </c>
      <c r="C19" t="s">
        <v>155</v>
      </c>
      <c r="D19" t="s">
        <v>156</v>
      </c>
      <c r="E19" t="s">
        <v>157</v>
      </c>
      <c r="F19" t="s">
        <v>158</v>
      </c>
      <c r="G19" t="s">
        <v>159</v>
      </c>
      <c r="I19" t="s">
        <v>160</v>
      </c>
      <c r="J19" t="s">
        <v>161</v>
      </c>
      <c r="L19" t="s">
        <v>1</v>
      </c>
      <c r="N19" t="s">
        <v>155</v>
      </c>
      <c r="O19" t="s">
        <v>156</v>
      </c>
      <c r="P19" t="s">
        <v>157</v>
      </c>
      <c r="Q19" t="s">
        <v>158</v>
      </c>
      <c r="R19" t="s">
        <v>159</v>
      </c>
      <c r="T19" t="s">
        <v>160</v>
      </c>
      <c r="U19" t="s">
        <v>161</v>
      </c>
      <c r="W19" s="90" t="s">
        <v>1</v>
      </c>
      <c r="Y19" t="s">
        <v>155</v>
      </c>
      <c r="Z19" t="s">
        <v>156</v>
      </c>
      <c r="AA19" t="s">
        <v>157</v>
      </c>
      <c r="AB19" t="s">
        <v>158</v>
      </c>
      <c r="AC19" t="s">
        <v>159</v>
      </c>
      <c r="AE19" t="s">
        <v>160</v>
      </c>
      <c r="AF19" t="s">
        <v>161</v>
      </c>
      <c r="AH19" t="s">
        <v>1</v>
      </c>
      <c r="AJ19" t="s">
        <v>155</v>
      </c>
      <c r="AK19" t="s">
        <v>156</v>
      </c>
      <c r="AL19" t="s">
        <v>157</v>
      </c>
      <c r="AM19" t="s">
        <v>158</v>
      </c>
      <c r="AN19" t="s">
        <v>159</v>
      </c>
      <c r="AP19" t="s">
        <v>160</v>
      </c>
      <c r="AQ19" t="s">
        <v>161</v>
      </c>
      <c r="AS19" t="s">
        <v>1</v>
      </c>
      <c r="AU19" t="s">
        <v>155</v>
      </c>
      <c r="AV19" t="s">
        <v>156</v>
      </c>
      <c r="AW19" t="s">
        <v>157</v>
      </c>
      <c r="AX19" t="s">
        <v>158</v>
      </c>
      <c r="AY19" t="s">
        <v>159</v>
      </c>
      <c r="BA19" t="s">
        <v>160</v>
      </c>
      <c r="BB19" t="s">
        <v>161</v>
      </c>
      <c r="BI19">
        <v>0.49199999999999999</v>
      </c>
      <c r="BJ19">
        <v>0.47</v>
      </c>
      <c r="BK19">
        <v>0.246</v>
      </c>
      <c r="BL19">
        <v>0.151</v>
      </c>
    </row>
    <row r="20" spans="1:64">
      <c r="G20" t="s">
        <v>162</v>
      </c>
      <c r="H20" t="s">
        <v>163</v>
      </c>
      <c r="R20" t="s">
        <v>162</v>
      </c>
      <c r="S20" t="s">
        <v>163</v>
      </c>
      <c r="AC20" t="s">
        <v>162</v>
      </c>
      <c r="AD20" t="s">
        <v>163</v>
      </c>
      <c r="AN20" t="s">
        <v>162</v>
      </c>
      <c r="AO20" t="s">
        <v>163</v>
      </c>
      <c r="AY20" t="s">
        <v>162</v>
      </c>
      <c r="AZ20" t="s">
        <v>163</v>
      </c>
      <c r="BE20" s="90"/>
      <c r="BF20" s="90"/>
      <c r="BG20" s="90"/>
      <c r="BH20" s="90"/>
      <c r="BI20" s="90" t="s">
        <v>196</v>
      </c>
      <c r="BJ20" s="90" t="s">
        <v>196</v>
      </c>
      <c r="BK20" s="90" t="s">
        <v>196</v>
      </c>
      <c r="BL20" s="90" t="s">
        <v>197</v>
      </c>
    </row>
    <row r="21" spans="1:64">
      <c r="A21" t="s">
        <v>9</v>
      </c>
      <c r="B21" t="s">
        <v>140</v>
      </c>
      <c r="C21">
        <v>5</v>
      </c>
      <c r="D21">
        <v>19</v>
      </c>
      <c r="E21">
        <v>9.6950000000000003</v>
      </c>
      <c r="F21">
        <v>4.3360000000000003</v>
      </c>
      <c r="G21">
        <v>6.96</v>
      </c>
      <c r="H21">
        <v>31.04</v>
      </c>
      <c r="I21">
        <v>5</v>
      </c>
      <c r="J21">
        <v>32</v>
      </c>
      <c r="L21" t="s">
        <v>9</v>
      </c>
      <c r="M21" t="s">
        <v>140</v>
      </c>
      <c r="N21">
        <v>5</v>
      </c>
      <c r="O21">
        <v>8.1999999999999993</v>
      </c>
      <c r="P21">
        <v>6.181</v>
      </c>
      <c r="Q21">
        <v>2.7639999999999998</v>
      </c>
      <c r="R21">
        <v>0.53</v>
      </c>
      <c r="S21">
        <v>15.87</v>
      </c>
      <c r="T21">
        <v>0</v>
      </c>
      <c r="U21">
        <v>16</v>
      </c>
      <c r="W21" t="s">
        <v>9</v>
      </c>
      <c r="X21" t="s">
        <v>140</v>
      </c>
      <c r="Y21">
        <v>5</v>
      </c>
      <c r="Z21">
        <v>12.4</v>
      </c>
      <c r="AA21">
        <v>3.5070000000000001</v>
      </c>
      <c r="AB21">
        <v>1.5680000000000001</v>
      </c>
      <c r="AC21">
        <v>8.0500000000000007</v>
      </c>
      <c r="AD21">
        <v>16.75</v>
      </c>
      <c r="AE21">
        <v>8</v>
      </c>
      <c r="AF21">
        <v>17</v>
      </c>
      <c r="AH21" t="s">
        <v>9</v>
      </c>
      <c r="AI21" t="s">
        <v>140</v>
      </c>
      <c r="AJ21">
        <v>5</v>
      </c>
      <c r="AK21">
        <v>6.2</v>
      </c>
      <c r="AL21">
        <v>1.4830000000000001</v>
      </c>
      <c r="AM21">
        <v>0.66300000000000003</v>
      </c>
      <c r="AN21">
        <v>4.3600000000000003</v>
      </c>
      <c r="AO21">
        <v>8.0399999999999991</v>
      </c>
      <c r="AP21">
        <v>4</v>
      </c>
      <c r="AQ21">
        <v>8</v>
      </c>
      <c r="AS21" t="s">
        <v>9</v>
      </c>
      <c r="AT21" t="s">
        <v>140</v>
      </c>
      <c r="AU21">
        <v>5</v>
      </c>
      <c r="AV21">
        <v>10.199999999999999</v>
      </c>
      <c r="AW21">
        <v>1.4830000000000001</v>
      </c>
      <c r="AX21">
        <v>0.66300000000000003</v>
      </c>
      <c r="AY21">
        <v>8.36</v>
      </c>
      <c r="AZ21">
        <v>12.04</v>
      </c>
      <c r="BA21">
        <v>8</v>
      </c>
      <c r="BB21">
        <v>12</v>
      </c>
      <c r="BD21" t="s">
        <v>198</v>
      </c>
    </row>
    <row r="22" spans="1:64">
      <c r="B22" t="s">
        <v>40</v>
      </c>
      <c r="C22">
        <v>12</v>
      </c>
      <c r="D22">
        <v>26.17</v>
      </c>
      <c r="E22">
        <v>9.0239999999999991</v>
      </c>
      <c r="F22">
        <v>2.605</v>
      </c>
      <c r="G22">
        <v>20.43</v>
      </c>
      <c r="H22">
        <v>31.9</v>
      </c>
      <c r="I22">
        <v>8</v>
      </c>
      <c r="J22">
        <v>36</v>
      </c>
      <c r="M22" t="s">
        <v>40</v>
      </c>
      <c r="N22">
        <v>12</v>
      </c>
      <c r="O22">
        <v>19.5</v>
      </c>
      <c r="P22">
        <v>10.032</v>
      </c>
      <c r="Q22">
        <v>2.8959999999999999</v>
      </c>
      <c r="R22">
        <v>13.13</v>
      </c>
      <c r="S22">
        <v>25.87</v>
      </c>
      <c r="T22">
        <v>6</v>
      </c>
      <c r="U22">
        <v>34</v>
      </c>
      <c r="X22" t="s">
        <v>40</v>
      </c>
      <c r="Y22">
        <v>12</v>
      </c>
      <c r="Z22">
        <v>14.08</v>
      </c>
      <c r="AA22">
        <v>3.7530000000000001</v>
      </c>
      <c r="AB22">
        <v>1.083</v>
      </c>
      <c r="AC22">
        <v>11.7</v>
      </c>
      <c r="AD22">
        <v>16.47</v>
      </c>
      <c r="AE22">
        <v>10</v>
      </c>
      <c r="AF22">
        <v>20</v>
      </c>
      <c r="AI22" t="s">
        <v>40</v>
      </c>
      <c r="AJ22">
        <v>12</v>
      </c>
      <c r="AK22">
        <v>5.75</v>
      </c>
      <c r="AL22">
        <v>2.1789999999999998</v>
      </c>
      <c r="AM22">
        <v>0.629</v>
      </c>
      <c r="AN22">
        <v>4.37</v>
      </c>
      <c r="AO22">
        <v>7.13</v>
      </c>
      <c r="AP22">
        <v>1</v>
      </c>
      <c r="AQ22">
        <v>9</v>
      </c>
      <c r="AT22" t="s">
        <v>40</v>
      </c>
      <c r="AU22">
        <v>12</v>
      </c>
      <c r="AV22">
        <v>10.75</v>
      </c>
      <c r="AW22">
        <v>1.2150000000000001</v>
      </c>
      <c r="AX22">
        <v>0.35099999999999998</v>
      </c>
      <c r="AY22">
        <v>9.98</v>
      </c>
      <c r="AZ22">
        <v>11.52</v>
      </c>
      <c r="BA22">
        <v>9</v>
      </c>
      <c r="BB22">
        <v>12</v>
      </c>
      <c r="BD22" t="s">
        <v>199</v>
      </c>
    </row>
    <row r="23" spans="1:64">
      <c r="B23" t="s">
        <v>41</v>
      </c>
      <c r="C23">
        <v>22</v>
      </c>
      <c r="D23">
        <v>31.05</v>
      </c>
      <c r="E23">
        <v>4.6950000000000003</v>
      </c>
      <c r="F23">
        <v>1.0009999999999999</v>
      </c>
      <c r="G23">
        <v>28.96</v>
      </c>
      <c r="H23">
        <v>33.130000000000003</v>
      </c>
      <c r="I23">
        <v>20</v>
      </c>
      <c r="J23">
        <v>36</v>
      </c>
      <c r="M23" t="s">
        <v>41</v>
      </c>
      <c r="N23">
        <v>22</v>
      </c>
      <c r="O23">
        <v>21.5</v>
      </c>
      <c r="P23">
        <v>7.7869999999999999</v>
      </c>
      <c r="Q23">
        <v>1.66</v>
      </c>
      <c r="R23">
        <v>18.05</v>
      </c>
      <c r="S23">
        <v>24.95</v>
      </c>
      <c r="T23">
        <v>8</v>
      </c>
      <c r="U23">
        <v>32</v>
      </c>
      <c r="X23" t="s">
        <v>41</v>
      </c>
      <c r="Y23">
        <v>22</v>
      </c>
      <c r="Z23">
        <v>17.64</v>
      </c>
      <c r="AA23">
        <v>4.5309999999999997</v>
      </c>
      <c r="AB23">
        <v>0.96599999999999997</v>
      </c>
      <c r="AC23">
        <v>15.63</v>
      </c>
      <c r="AD23">
        <v>19.649999999999999</v>
      </c>
      <c r="AE23">
        <v>8</v>
      </c>
      <c r="AF23">
        <v>26</v>
      </c>
      <c r="AI23" t="s">
        <v>41</v>
      </c>
      <c r="AJ23">
        <v>22</v>
      </c>
      <c r="AK23">
        <v>7.86</v>
      </c>
      <c r="AL23">
        <v>2.5499999999999998</v>
      </c>
      <c r="AM23">
        <v>0.54400000000000004</v>
      </c>
      <c r="AN23">
        <v>6.73</v>
      </c>
      <c r="AO23">
        <v>8.99</v>
      </c>
      <c r="AP23">
        <v>2</v>
      </c>
      <c r="AQ23">
        <v>12</v>
      </c>
      <c r="AT23" t="s">
        <v>41</v>
      </c>
      <c r="AU23">
        <v>22</v>
      </c>
      <c r="AV23">
        <v>11</v>
      </c>
      <c r="AW23">
        <v>1.1950000000000001</v>
      </c>
      <c r="AX23">
        <v>0.255</v>
      </c>
      <c r="AY23">
        <v>10.47</v>
      </c>
      <c r="AZ23">
        <v>11.53</v>
      </c>
      <c r="BA23">
        <v>9</v>
      </c>
      <c r="BB23">
        <v>12</v>
      </c>
      <c r="BD23" t="s">
        <v>200</v>
      </c>
    </row>
    <row r="24" spans="1:64">
      <c r="B24" t="s">
        <v>42</v>
      </c>
      <c r="C24">
        <v>3</v>
      </c>
      <c r="D24">
        <v>30.33</v>
      </c>
      <c r="E24">
        <v>2.887</v>
      </c>
      <c r="F24">
        <v>1.667</v>
      </c>
      <c r="G24">
        <v>23.16</v>
      </c>
      <c r="H24">
        <v>37.5</v>
      </c>
      <c r="I24">
        <v>27</v>
      </c>
      <c r="J24">
        <v>32</v>
      </c>
      <c r="M24" t="s">
        <v>42</v>
      </c>
      <c r="N24">
        <v>3</v>
      </c>
      <c r="O24">
        <v>24.33</v>
      </c>
      <c r="P24">
        <v>2.5169999999999999</v>
      </c>
      <c r="Q24">
        <v>1.4530000000000001</v>
      </c>
      <c r="R24">
        <v>18.079999999999998</v>
      </c>
      <c r="S24">
        <v>30.58</v>
      </c>
      <c r="T24">
        <v>22</v>
      </c>
      <c r="U24">
        <v>27</v>
      </c>
      <c r="X24" t="s">
        <v>42</v>
      </c>
      <c r="Y24">
        <v>3</v>
      </c>
      <c r="Z24">
        <v>20</v>
      </c>
      <c r="AA24">
        <v>6</v>
      </c>
      <c r="AB24">
        <v>3.464</v>
      </c>
      <c r="AC24">
        <v>5.0999999999999996</v>
      </c>
      <c r="AD24">
        <v>34.9</v>
      </c>
      <c r="AE24">
        <v>14</v>
      </c>
      <c r="AF24">
        <v>26</v>
      </c>
      <c r="AI24" t="s">
        <v>42</v>
      </c>
      <c r="AJ24">
        <v>3</v>
      </c>
      <c r="AK24">
        <v>9</v>
      </c>
      <c r="AL24">
        <v>1</v>
      </c>
      <c r="AM24">
        <v>0.57699999999999996</v>
      </c>
      <c r="AN24">
        <v>6.52</v>
      </c>
      <c r="AO24">
        <v>11.48</v>
      </c>
      <c r="AP24">
        <v>8</v>
      </c>
      <c r="AQ24">
        <v>10</v>
      </c>
      <c r="AT24" t="s">
        <v>42</v>
      </c>
      <c r="AU24">
        <v>3</v>
      </c>
      <c r="AV24">
        <v>11.33</v>
      </c>
      <c r="AW24">
        <v>0.57699999999999996</v>
      </c>
      <c r="AX24">
        <v>0.33300000000000002</v>
      </c>
      <c r="AY24">
        <v>9.9</v>
      </c>
      <c r="AZ24">
        <v>12.77</v>
      </c>
      <c r="BA24">
        <v>11</v>
      </c>
      <c r="BB24">
        <v>12</v>
      </c>
    </row>
    <row r="25" spans="1:64">
      <c r="B25" t="s">
        <v>32</v>
      </c>
      <c r="C25">
        <v>42</v>
      </c>
      <c r="D25">
        <v>28.17</v>
      </c>
      <c r="E25">
        <v>7.6760000000000002</v>
      </c>
      <c r="F25">
        <v>1.1839999999999999</v>
      </c>
      <c r="G25">
        <v>25.77</v>
      </c>
      <c r="H25">
        <v>30.56</v>
      </c>
      <c r="I25">
        <v>5</v>
      </c>
      <c r="J25">
        <v>36</v>
      </c>
      <c r="M25" t="s">
        <v>32</v>
      </c>
      <c r="N25">
        <v>42</v>
      </c>
      <c r="O25">
        <v>19.55</v>
      </c>
      <c r="P25">
        <v>9.0289999999999999</v>
      </c>
      <c r="Q25">
        <v>1.393</v>
      </c>
      <c r="R25">
        <v>16.73</v>
      </c>
      <c r="S25">
        <v>22.36</v>
      </c>
      <c r="T25">
        <v>0</v>
      </c>
      <c r="U25">
        <v>34</v>
      </c>
      <c r="X25" t="s">
        <v>32</v>
      </c>
      <c r="Y25">
        <v>42</v>
      </c>
      <c r="Z25">
        <v>16.170000000000002</v>
      </c>
      <c r="AA25">
        <v>4.742</v>
      </c>
      <c r="AB25">
        <v>0.73199999999999998</v>
      </c>
      <c r="AC25">
        <v>14.69</v>
      </c>
      <c r="AD25">
        <v>17.64</v>
      </c>
      <c r="AE25">
        <v>8</v>
      </c>
      <c r="AF25">
        <v>26</v>
      </c>
      <c r="AI25" t="s">
        <v>32</v>
      </c>
      <c r="AJ25">
        <v>42</v>
      </c>
      <c r="AK25">
        <v>7.14</v>
      </c>
      <c r="AL25">
        <v>2.4649999999999999</v>
      </c>
      <c r="AM25">
        <v>0.38</v>
      </c>
      <c r="AN25">
        <v>6.37</v>
      </c>
      <c r="AO25">
        <v>7.91</v>
      </c>
      <c r="AP25">
        <v>1</v>
      </c>
      <c r="AQ25">
        <v>12</v>
      </c>
      <c r="AT25" t="s">
        <v>32</v>
      </c>
      <c r="AU25">
        <v>42</v>
      </c>
      <c r="AV25">
        <v>10.86</v>
      </c>
      <c r="AW25">
        <v>1.2010000000000001</v>
      </c>
      <c r="AX25">
        <v>0.185</v>
      </c>
      <c r="AY25">
        <v>10.48</v>
      </c>
      <c r="AZ25">
        <v>11.23</v>
      </c>
      <c r="BA25">
        <v>8</v>
      </c>
      <c r="BB25">
        <v>12</v>
      </c>
    </row>
    <row r="26" spans="1:64">
      <c r="A26" t="s">
        <v>10</v>
      </c>
      <c r="B26" t="s">
        <v>140</v>
      </c>
      <c r="C26">
        <v>11</v>
      </c>
      <c r="D26">
        <v>16.45</v>
      </c>
      <c r="E26">
        <v>6.0229999999999997</v>
      </c>
      <c r="F26">
        <v>1.8160000000000001</v>
      </c>
      <c r="G26">
        <v>12.41</v>
      </c>
      <c r="H26">
        <v>20.5</v>
      </c>
      <c r="I26">
        <v>8</v>
      </c>
      <c r="J26">
        <v>30</v>
      </c>
      <c r="L26" t="s">
        <v>10</v>
      </c>
      <c r="M26" t="s">
        <v>140</v>
      </c>
      <c r="N26">
        <v>11</v>
      </c>
      <c r="O26">
        <v>9</v>
      </c>
      <c r="P26">
        <v>3.661</v>
      </c>
      <c r="Q26">
        <v>1.1040000000000001</v>
      </c>
      <c r="R26">
        <v>6.54</v>
      </c>
      <c r="S26">
        <v>11.46</v>
      </c>
      <c r="T26">
        <v>3</v>
      </c>
      <c r="U26">
        <v>17</v>
      </c>
      <c r="W26" t="s">
        <v>10</v>
      </c>
      <c r="X26" t="s">
        <v>140</v>
      </c>
      <c r="Y26">
        <v>11</v>
      </c>
      <c r="Z26">
        <v>11.18</v>
      </c>
      <c r="AA26">
        <v>3.43</v>
      </c>
      <c r="AB26">
        <v>1.034</v>
      </c>
      <c r="AC26">
        <v>8.8800000000000008</v>
      </c>
      <c r="AD26">
        <v>13.49</v>
      </c>
      <c r="AE26">
        <v>7</v>
      </c>
      <c r="AF26">
        <v>20</v>
      </c>
      <c r="AH26" t="s">
        <v>10</v>
      </c>
      <c r="AI26" t="s">
        <v>140</v>
      </c>
      <c r="AJ26">
        <v>11</v>
      </c>
      <c r="AK26">
        <v>4.6399999999999997</v>
      </c>
      <c r="AL26">
        <v>2.0139999999999998</v>
      </c>
      <c r="AM26">
        <v>0.60699999999999998</v>
      </c>
      <c r="AN26">
        <v>3.28</v>
      </c>
      <c r="AO26">
        <v>5.99</v>
      </c>
      <c r="AP26">
        <v>1</v>
      </c>
      <c r="AQ26">
        <v>7</v>
      </c>
      <c r="AS26" t="s">
        <v>10</v>
      </c>
      <c r="AT26" t="s">
        <v>140</v>
      </c>
      <c r="AU26">
        <v>11</v>
      </c>
      <c r="AV26">
        <v>9.27</v>
      </c>
      <c r="AW26">
        <v>2.149</v>
      </c>
      <c r="AX26">
        <v>0.64800000000000002</v>
      </c>
      <c r="AY26">
        <v>7.83</v>
      </c>
      <c r="AZ26">
        <v>10.72</v>
      </c>
      <c r="BA26">
        <v>5</v>
      </c>
      <c r="BB26">
        <v>12</v>
      </c>
    </row>
    <row r="27" spans="1:64">
      <c r="B27" t="s">
        <v>40</v>
      </c>
      <c r="C27">
        <v>16</v>
      </c>
      <c r="D27">
        <v>23.69</v>
      </c>
      <c r="E27">
        <v>9.4139999999999997</v>
      </c>
      <c r="F27">
        <v>2.3540000000000001</v>
      </c>
      <c r="G27">
        <v>18.670000000000002</v>
      </c>
      <c r="H27">
        <v>28.7</v>
      </c>
      <c r="I27">
        <v>3</v>
      </c>
      <c r="J27">
        <v>35</v>
      </c>
      <c r="M27" t="s">
        <v>40</v>
      </c>
      <c r="N27">
        <v>16</v>
      </c>
      <c r="O27">
        <v>11.69</v>
      </c>
      <c r="P27">
        <v>4.7569999999999997</v>
      </c>
      <c r="Q27">
        <v>1.1890000000000001</v>
      </c>
      <c r="R27">
        <v>9.15</v>
      </c>
      <c r="S27">
        <v>14.22</v>
      </c>
      <c r="T27">
        <v>4</v>
      </c>
      <c r="U27">
        <v>22</v>
      </c>
      <c r="X27" t="s">
        <v>40</v>
      </c>
      <c r="Y27">
        <v>16</v>
      </c>
      <c r="Z27">
        <v>14</v>
      </c>
      <c r="AA27">
        <v>3.9670000000000001</v>
      </c>
      <c r="AB27">
        <v>0.99199999999999999</v>
      </c>
      <c r="AC27">
        <v>11.89</v>
      </c>
      <c r="AD27">
        <v>16.11</v>
      </c>
      <c r="AE27">
        <v>8</v>
      </c>
      <c r="AF27">
        <v>22</v>
      </c>
      <c r="AI27" t="s">
        <v>40</v>
      </c>
      <c r="AJ27">
        <v>16</v>
      </c>
      <c r="AK27">
        <v>6.94</v>
      </c>
      <c r="AL27">
        <v>1.843</v>
      </c>
      <c r="AM27">
        <v>0.46100000000000002</v>
      </c>
      <c r="AN27">
        <v>5.96</v>
      </c>
      <c r="AO27">
        <v>7.92</v>
      </c>
      <c r="AP27">
        <v>4</v>
      </c>
      <c r="AQ27">
        <v>10</v>
      </c>
      <c r="AT27" t="s">
        <v>40</v>
      </c>
      <c r="AU27">
        <v>16</v>
      </c>
      <c r="AV27">
        <v>10.75</v>
      </c>
      <c r="AW27">
        <v>1.6930000000000001</v>
      </c>
      <c r="AX27">
        <v>0.42299999999999999</v>
      </c>
      <c r="AY27">
        <v>9.85</v>
      </c>
      <c r="AZ27">
        <v>11.65</v>
      </c>
      <c r="BA27">
        <v>6</v>
      </c>
      <c r="BB27">
        <v>12</v>
      </c>
    </row>
    <row r="28" spans="1:64">
      <c r="B28" t="s">
        <v>41</v>
      </c>
      <c r="C28">
        <v>18</v>
      </c>
      <c r="D28">
        <v>31.11</v>
      </c>
      <c r="E28">
        <v>6.0279999999999996</v>
      </c>
      <c r="F28">
        <v>1.421</v>
      </c>
      <c r="G28">
        <v>28.11</v>
      </c>
      <c r="H28">
        <v>34.11</v>
      </c>
      <c r="I28">
        <v>14</v>
      </c>
      <c r="J28">
        <v>36</v>
      </c>
      <c r="M28" t="s">
        <v>41</v>
      </c>
      <c r="N28">
        <v>18</v>
      </c>
      <c r="O28">
        <v>21.83</v>
      </c>
      <c r="P28">
        <v>7.4770000000000003</v>
      </c>
      <c r="Q28">
        <v>1.762</v>
      </c>
      <c r="R28">
        <v>18.11</v>
      </c>
      <c r="S28">
        <v>25.55</v>
      </c>
      <c r="T28">
        <v>10</v>
      </c>
      <c r="U28">
        <v>32</v>
      </c>
      <c r="X28" t="s">
        <v>41</v>
      </c>
      <c r="Y28">
        <v>18</v>
      </c>
      <c r="Z28">
        <v>17.170000000000002</v>
      </c>
      <c r="AA28">
        <v>4.5919999999999996</v>
      </c>
      <c r="AB28">
        <v>1.0820000000000001</v>
      </c>
      <c r="AC28">
        <v>14.88</v>
      </c>
      <c r="AD28">
        <v>19.45</v>
      </c>
      <c r="AE28">
        <v>9</v>
      </c>
      <c r="AF28">
        <v>24</v>
      </c>
      <c r="AI28" t="s">
        <v>41</v>
      </c>
      <c r="AJ28">
        <v>18</v>
      </c>
      <c r="AK28">
        <v>8.5</v>
      </c>
      <c r="AL28">
        <v>1.6539999999999999</v>
      </c>
      <c r="AM28">
        <v>0.39</v>
      </c>
      <c r="AN28">
        <v>7.68</v>
      </c>
      <c r="AO28">
        <v>9.32</v>
      </c>
      <c r="AP28">
        <v>6</v>
      </c>
      <c r="AQ28">
        <v>12</v>
      </c>
      <c r="AT28" t="s">
        <v>41</v>
      </c>
      <c r="AU28">
        <v>18</v>
      </c>
      <c r="AV28">
        <v>11.33</v>
      </c>
      <c r="AW28">
        <v>0.97</v>
      </c>
      <c r="AX28">
        <v>0.22900000000000001</v>
      </c>
      <c r="AY28">
        <v>10.85</v>
      </c>
      <c r="AZ28">
        <v>11.82</v>
      </c>
      <c r="BA28">
        <v>9</v>
      </c>
      <c r="BB28">
        <v>12</v>
      </c>
    </row>
    <row r="29" spans="1:64">
      <c r="B29" t="s">
        <v>42</v>
      </c>
      <c r="C29">
        <v>1</v>
      </c>
      <c r="D29">
        <v>21</v>
      </c>
      <c r="E29" t="s">
        <v>150</v>
      </c>
      <c r="F29" t="s">
        <v>150</v>
      </c>
      <c r="G29" t="s">
        <v>150</v>
      </c>
      <c r="H29" t="s">
        <v>150</v>
      </c>
      <c r="I29">
        <v>21</v>
      </c>
      <c r="J29">
        <v>21</v>
      </c>
      <c r="M29" t="s">
        <v>42</v>
      </c>
      <c r="N29">
        <v>1</v>
      </c>
      <c r="O29">
        <v>14</v>
      </c>
      <c r="P29" t="s">
        <v>150</v>
      </c>
      <c r="Q29" t="s">
        <v>150</v>
      </c>
      <c r="R29" t="s">
        <v>150</v>
      </c>
      <c r="S29" t="s">
        <v>150</v>
      </c>
      <c r="T29">
        <v>14</v>
      </c>
      <c r="U29">
        <v>14</v>
      </c>
      <c r="X29" t="s">
        <v>42</v>
      </c>
      <c r="Y29">
        <v>1</v>
      </c>
      <c r="Z29">
        <v>13</v>
      </c>
      <c r="AA29" t="s">
        <v>150</v>
      </c>
      <c r="AB29" t="s">
        <v>150</v>
      </c>
      <c r="AC29" t="s">
        <v>150</v>
      </c>
      <c r="AD29" t="s">
        <v>150</v>
      </c>
      <c r="AE29">
        <v>13</v>
      </c>
      <c r="AF29">
        <v>13</v>
      </c>
      <c r="AI29" t="s">
        <v>42</v>
      </c>
      <c r="AJ29">
        <v>1</v>
      </c>
      <c r="AK29">
        <v>4</v>
      </c>
      <c r="AL29" t="s">
        <v>150</v>
      </c>
      <c r="AM29" t="s">
        <v>150</v>
      </c>
      <c r="AN29" t="s">
        <v>150</v>
      </c>
      <c r="AO29" t="s">
        <v>150</v>
      </c>
      <c r="AP29">
        <v>4</v>
      </c>
      <c r="AQ29">
        <v>4</v>
      </c>
      <c r="AT29" t="s">
        <v>42</v>
      </c>
      <c r="AU29">
        <v>1</v>
      </c>
      <c r="AV29">
        <v>11</v>
      </c>
      <c r="AW29" t="s">
        <v>150</v>
      </c>
      <c r="AX29" t="s">
        <v>150</v>
      </c>
      <c r="AY29" t="s">
        <v>150</v>
      </c>
      <c r="AZ29" t="s">
        <v>150</v>
      </c>
      <c r="BA29">
        <v>11</v>
      </c>
      <c r="BB29">
        <v>11</v>
      </c>
    </row>
    <row r="30" spans="1:64">
      <c r="B30" t="s">
        <v>32</v>
      </c>
      <c r="C30">
        <v>46</v>
      </c>
      <c r="D30">
        <v>24.8</v>
      </c>
      <c r="E30">
        <v>9.2219999999999995</v>
      </c>
      <c r="F30">
        <v>1.36</v>
      </c>
      <c r="G30">
        <v>22.07</v>
      </c>
      <c r="H30">
        <v>27.54</v>
      </c>
      <c r="I30">
        <v>3</v>
      </c>
      <c r="J30">
        <v>36</v>
      </c>
      <c r="M30" t="s">
        <v>32</v>
      </c>
      <c r="N30">
        <v>46</v>
      </c>
      <c r="O30">
        <v>15.07</v>
      </c>
      <c r="P30">
        <v>7.94</v>
      </c>
      <c r="Q30">
        <v>1.171</v>
      </c>
      <c r="R30">
        <v>12.71</v>
      </c>
      <c r="S30">
        <v>17.420000000000002</v>
      </c>
      <c r="T30">
        <v>3</v>
      </c>
      <c r="U30">
        <v>32</v>
      </c>
      <c r="X30" t="s">
        <v>32</v>
      </c>
      <c r="Y30">
        <v>46</v>
      </c>
      <c r="Z30">
        <v>14.54</v>
      </c>
      <c r="AA30">
        <v>4.6369999999999996</v>
      </c>
      <c r="AB30">
        <v>0.68400000000000005</v>
      </c>
      <c r="AC30">
        <v>13.17</v>
      </c>
      <c r="AD30">
        <v>15.92</v>
      </c>
      <c r="AE30">
        <v>7</v>
      </c>
      <c r="AF30">
        <v>24</v>
      </c>
      <c r="AI30" t="s">
        <v>32</v>
      </c>
      <c r="AJ30">
        <v>46</v>
      </c>
      <c r="AK30">
        <v>6.93</v>
      </c>
      <c r="AL30">
        <v>2.351</v>
      </c>
      <c r="AM30">
        <v>0.34699999999999998</v>
      </c>
      <c r="AN30">
        <v>6.24</v>
      </c>
      <c r="AO30">
        <v>7.63</v>
      </c>
      <c r="AP30">
        <v>1</v>
      </c>
      <c r="AQ30">
        <v>12</v>
      </c>
      <c r="AT30" t="s">
        <v>32</v>
      </c>
      <c r="AU30">
        <v>46</v>
      </c>
      <c r="AV30">
        <v>10.63</v>
      </c>
      <c r="AW30">
        <v>1.73</v>
      </c>
      <c r="AX30">
        <v>0.255</v>
      </c>
      <c r="AY30">
        <v>10.119999999999999</v>
      </c>
      <c r="AZ30">
        <v>11.14</v>
      </c>
      <c r="BA30">
        <v>5</v>
      </c>
      <c r="BB30">
        <v>12</v>
      </c>
    </row>
    <row r="32" spans="1:64">
      <c r="A32" t="s">
        <v>153</v>
      </c>
      <c r="L32" t="s">
        <v>153</v>
      </c>
      <c r="W32" t="s">
        <v>153</v>
      </c>
      <c r="AH32" t="s">
        <v>153</v>
      </c>
      <c r="AS32" t="s">
        <v>153</v>
      </c>
    </row>
    <row r="33" spans="1:54">
      <c r="A33" t="s">
        <v>154</v>
      </c>
      <c r="L33" t="s">
        <v>184</v>
      </c>
      <c r="W33" t="s">
        <v>185</v>
      </c>
      <c r="AH33" t="s">
        <v>186</v>
      </c>
      <c r="AS33" t="s">
        <v>187</v>
      </c>
    </row>
    <row r="34" spans="1:54">
      <c r="A34" t="s">
        <v>1</v>
      </c>
      <c r="B34" s="90" t="s">
        <v>0</v>
      </c>
      <c r="C34" t="s">
        <v>155</v>
      </c>
      <c r="D34" t="s">
        <v>156</v>
      </c>
      <c r="E34" t="s">
        <v>157</v>
      </c>
      <c r="F34" t="s">
        <v>158</v>
      </c>
      <c r="G34" t="s">
        <v>159</v>
      </c>
      <c r="I34" t="s">
        <v>160</v>
      </c>
      <c r="J34" t="s">
        <v>161</v>
      </c>
      <c r="L34" s="90" t="s">
        <v>1</v>
      </c>
      <c r="N34" t="s">
        <v>155</v>
      </c>
      <c r="O34" t="s">
        <v>156</v>
      </c>
      <c r="P34" t="s">
        <v>157</v>
      </c>
      <c r="Q34" t="s">
        <v>158</v>
      </c>
      <c r="R34" t="s">
        <v>159</v>
      </c>
      <c r="T34" t="s">
        <v>160</v>
      </c>
      <c r="U34" t="s">
        <v>161</v>
      </c>
      <c r="W34" s="90" t="s">
        <v>1</v>
      </c>
      <c r="Y34" t="s">
        <v>155</v>
      </c>
      <c r="Z34" t="s">
        <v>156</v>
      </c>
      <c r="AA34" t="s">
        <v>157</v>
      </c>
      <c r="AB34" t="s">
        <v>158</v>
      </c>
      <c r="AC34" t="s">
        <v>159</v>
      </c>
      <c r="AE34" t="s">
        <v>160</v>
      </c>
      <c r="AF34" t="s">
        <v>161</v>
      </c>
      <c r="AH34" t="s">
        <v>1</v>
      </c>
      <c r="AJ34" t="s">
        <v>155</v>
      </c>
      <c r="AK34" t="s">
        <v>156</v>
      </c>
      <c r="AL34" t="s">
        <v>157</v>
      </c>
      <c r="AM34" t="s">
        <v>158</v>
      </c>
      <c r="AN34" t="s">
        <v>159</v>
      </c>
      <c r="AP34" t="s">
        <v>160</v>
      </c>
      <c r="AQ34" t="s">
        <v>161</v>
      </c>
      <c r="AS34" t="s">
        <v>1</v>
      </c>
      <c r="AU34" t="s">
        <v>155</v>
      </c>
      <c r="AV34" t="s">
        <v>156</v>
      </c>
      <c r="AW34" t="s">
        <v>157</v>
      </c>
      <c r="AX34" t="s">
        <v>158</v>
      </c>
      <c r="AY34" t="s">
        <v>159</v>
      </c>
      <c r="BA34" t="s">
        <v>160</v>
      </c>
      <c r="BB34" t="s">
        <v>161</v>
      </c>
    </row>
    <row r="35" spans="1:54">
      <c r="G35" t="s">
        <v>162</v>
      </c>
      <c r="H35" t="s">
        <v>163</v>
      </c>
      <c r="R35" t="s">
        <v>162</v>
      </c>
      <c r="S35" t="s">
        <v>163</v>
      </c>
      <c r="AC35" t="s">
        <v>162</v>
      </c>
      <c r="AD35" t="s">
        <v>163</v>
      </c>
      <c r="AN35" t="s">
        <v>162</v>
      </c>
      <c r="AO35" t="s">
        <v>163</v>
      </c>
      <c r="AY35" t="s">
        <v>162</v>
      </c>
      <c r="AZ35" t="s">
        <v>163</v>
      </c>
    </row>
    <row r="36" spans="1:54">
      <c r="A36" t="s">
        <v>9</v>
      </c>
      <c r="B36" t="s">
        <v>172</v>
      </c>
      <c r="C36">
        <v>8</v>
      </c>
      <c r="D36">
        <v>30.88</v>
      </c>
      <c r="E36">
        <v>4.4539999999999997</v>
      </c>
      <c r="F36">
        <v>1.575</v>
      </c>
      <c r="G36">
        <v>27.15</v>
      </c>
      <c r="H36">
        <v>34.6</v>
      </c>
      <c r="I36">
        <v>22</v>
      </c>
      <c r="J36">
        <v>35</v>
      </c>
      <c r="L36" t="s">
        <v>9</v>
      </c>
      <c r="M36" t="s">
        <v>172</v>
      </c>
      <c r="N36">
        <v>8</v>
      </c>
      <c r="O36">
        <v>24</v>
      </c>
      <c r="P36">
        <v>6.024</v>
      </c>
      <c r="Q36">
        <v>2.13</v>
      </c>
      <c r="R36">
        <v>18.96</v>
      </c>
      <c r="S36">
        <v>29.04</v>
      </c>
      <c r="T36">
        <v>13</v>
      </c>
      <c r="U36">
        <v>32</v>
      </c>
      <c r="W36" t="s">
        <v>9</v>
      </c>
      <c r="X36" t="s">
        <v>172</v>
      </c>
      <c r="Y36">
        <v>8</v>
      </c>
      <c r="Z36">
        <v>19.88</v>
      </c>
      <c r="AA36">
        <v>4.5490000000000004</v>
      </c>
      <c r="AB36">
        <v>1.6080000000000001</v>
      </c>
      <c r="AC36">
        <v>16.07</v>
      </c>
      <c r="AD36">
        <v>23.68</v>
      </c>
      <c r="AE36">
        <v>14</v>
      </c>
      <c r="AF36">
        <v>26</v>
      </c>
      <c r="AH36" t="s">
        <v>9</v>
      </c>
      <c r="AI36" t="s">
        <v>172</v>
      </c>
      <c r="AJ36">
        <v>8</v>
      </c>
      <c r="AK36">
        <v>8.25</v>
      </c>
      <c r="AL36">
        <v>2.6589999999999998</v>
      </c>
      <c r="AM36">
        <v>0.94</v>
      </c>
      <c r="AN36">
        <v>6.03</v>
      </c>
      <c r="AO36">
        <v>10.47</v>
      </c>
      <c r="AP36">
        <v>2</v>
      </c>
      <c r="AQ36">
        <v>10</v>
      </c>
      <c r="AS36" t="s">
        <v>9</v>
      </c>
      <c r="AT36" t="s">
        <v>172</v>
      </c>
      <c r="AU36">
        <v>8</v>
      </c>
      <c r="AV36">
        <v>11.63</v>
      </c>
      <c r="AW36">
        <v>0.74399999999999999</v>
      </c>
      <c r="AX36">
        <v>0.26300000000000001</v>
      </c>
      <c r="AY36">
        <v>11</v>
      </c>
      <c r="AZ36">
        <v>12.25</v>
      </c>
      <c r="BA36">
        <v>10</v>
      </c>
      <c r="BB36">
        <v>12</v>
      </c>
    </row>
    <row r="37" spans="1:54">
      <c r="B37" t="s">
        <v>173</v>
      </c>
      <c r="C37">
        <v>6</v>
      </c>
      <c r="D37">
        <v>28.83</v>
      </c>
      <c r="E37">
        <v>7.8339999999999996</v>
      </c>
      <c r="F37">
        <v>3.198</v>
      </c>
      <c r="G37">
        <v>20.61</v>
      </c>
      <c r="H37">
        <v>37.049999999999997</v>
      </c>
      <c r="I37">
        <v>18</v>
      </c>
      <c r="J37">
        <v>36</v>
      </c>
      <c r="M37" t="s">
        <v>173</v>
      </c>
      <c r="N37">
        <v>6</v>
      </c>
      <c r="O37">
        <v>18</v>
      </c>
      <c r="P37">
        <v>10.881</v>
      </c>
      <c r="Q37">
        <v>4.4420000000000002</v>
      </c>
      <c r="R37">
        <v>6.58</v>
      </c>
      <c r="S37">
        <v>29.42</v>
      </c>
      <c r="T37">
        <v>5</v>
      </c>
      <c r="U37">
        <v>31</v>
      </c>
      <c r="X37" t="s">
        <v>173</v>
      </c>
      <c r="Y37">
        <v>6</v>
      </c>
      <c r="Z37">
        <v>16</v>
      </c>
      <c r="AA37">
        <v>5.7969999999999997</v>
      </c>
      <c r="AB37">
        <v>2.3660000000000001</v>
      </c>
      <c r="AC37">
        <v>9.92</v>
      </c>
      <c r="AD37">
        <v>22.08</v>
      </c>
      <c r="AE37">
        <v>8</v>
      </c>
      <c r="AF37">
        <v>23</v>
      </c>
      <c r="AI37" t="s">
        <v>173</v>
      </c>
      <c r="AJ37">
        <v>6</v>
      </c>
      <c r="AK37">
        <v>7.67</v>
      </c>
      <c r="AL37">
        <v>2.7330000000000001</v>
      </c>
      <c r="AM37">
        <v>1.1160000000000001</v>
      </c>
      <c r="AN37">
        <v>4.8</v>
      </c>
      <c r="AO37">
        <v>10.53</v>
      </c>
      <c r="AP37">
        <v>4</v>
      </c>
      <c r="AQ37">
        <v>11</v>
      </c>
      <c r="AT37" t="s">
        <v>173</v>
      </c>
      <c r="AU37">
        <v>6</v>
      </c>
      <c r="AV37">
        <v>10.33</v>
      </c>
      <c r="AW37">
        <v>1.633</v>
      </c>
      <c r="AX37">
        <v>0.66700000000000004</v>
      </c>
      <c r="AY37">
        <v>8.6199999999999992</v>
      </c>
      <c r="AZ37">
        <v>12.05</v>
      </c>
      <c r="BA37">
        <v>8</v>
      </c>
      <c r="BB37">
        <v>12</v>
      </c>
    </row>
    <row r="38" spans="1:54">
      <c r="B38" t="s">
        <v>174</v>
      </c>
      <c r="C38">
        <v>7</v>
      </c>
      <c r="D38">
        <v>28.14</v>
      </c>
      <c r="E38">
        <v>5.61</v>
      </c>
      <c r="F38">
        <v>2.121</v>
      </c>
      <c r="G38">
        <v>22.95</v>
      </c>
      <c r="H38">
        <v>33.33</v>
      </c>
      <c r="I38">
        <v>22</v>
      </c>
      <c r="J38">
        <v>34</v>
      </c>
      <c r="M38" t="s">
        <v>174</v>
      </c>
      <c r="N38">
        <v>7</v>
      </c>
      <c r="O38">
        <v>18.57</v>
      </c>
      <c r="P38">
        <v>8.7149999999999999</v>
      </c>
      <c r="Q38">
        <v>3.294</v>
      </c>
      <c r="R38">
        <v>10.51</v>
      </c>
      <c r="S38">
        <v>26.63</v>
      </c>
      <c r="T38">
        <v>8</v>
      </c>
      <c r="U38">
        <v>32</v>
      </c>
      <c r="X38" t="s">
        <v>174</v>
      </c>
      <c r="Y38">
        <v>7</v>
      </c>
      <c r="Z38">
        <v>16.57</v>
      </c>
      <c r="AA38">
        <v>4.8940000000000001</v>
      </c>
      <c r="AB38">
        <v>1.85</v>
      </c>
      <c r="AC38">
        <v>12.05</v>
      </c>
      <c r="AD38">
        <v>21.1</v>
      </c>
      <c r="AE38">
        <v>10</v>
      </c>
      <c r="AF38">
        <v>24</v>
      </c>
      <c r="AI38" t="s">
        <v>174</v>
      </c>
      <c r="AJ38">
        <v>7</v>
      </c>
      <c r="AK38">
        <v>7.43</v>
      </c>
      <c r="AL38">
        <v>2.5070000000000001</v>
      </c>
      <c r="AM38">
        <v>0.94799999999999995</v>
      </c>
      <c r="AN38">
        <v>5.1100000000000003</v>
      </c>
      <c r="AO38">
        <v>9.75</v>
      </c>
      <c r="AP38">
        <v>5</v>
      </c>
      <c r="AQ38">
        <v>12</v>
      </c>
      <c r="AT38" t="s">
        <v>174</v>
      </c>
      <c r="AU38">
        <v>7</v>
      </c>
      <c r="AV38">
        <v>10.71</v>
      </c>
      <c r="AW38">
        <v>1.254</v>
      </c>
      <c r="AX38">
        <v>0.47399999999999998</v>
      </c>
      <c r="AY38">
        <v>9.5500000000000007</v>
      </c>
      <c r="AZ38">
        <v>11.87</v>
      </c>
      <c r="BA38">
        <v>9</v>
      </c>
      <c r="BB38">
        <v>12</v>
      </c>
    </row>
    <row r="39" spans="1:54">
      <c r="B39" t="s">
        <v>175</v>
      </c>
      <c r="C39">
        <v>12</v>
      </c>
      <c r="D39">
        <v>30.17</v>
      </c>
      <c r="E39">
        <v>6.8339999999999996</v>
      </c>
      <c r="F39">
        <v>1.9730000000000001</v>
      </c>
      <c r="G39">
        <v>25.82</v>
      </c>
      <c r="H39">
        <v>34.51</v>
      </c>
      <c r="I39">
        <v>12</v>
      </c>
      <c r="J39">
        <v>36</v>
      </c>
      <c r="M39" t="s">
        <v>175</v>
      </c>
      <c r="N39">
        <v>12</v>
      </c>
      <c r="O39">
        <v>21.67</v>
      </c>
      <c r="P39">
        <v>9.2469999999999999</v>
      </c>
      <c r="Q39">
        <v>2.67</v>
      </c>
      <c r="R39">
        <v>15.79</v>
      </c>
      <c r="S39">
        <v>27.54</v>
      </c>
      <c r="T39">
        <v>6</v>
      </c>
      <c r="U39">
        <v>34</v>
      </c>
      <c r="X39" t="s">
        <v>175</v>
      </c>
      <c r="Y39">
        <v>12</v>
      </c>
      <c r="Z39">
        <v>15.08</v>
      </c>
      <c r="AA39">
        <v>4.8140000000000001</v>
      </c>
      <c r="AB39">
        <v>1.39</v>
      </c>
      <c r="AC39">
        <v>12.02</v>
      </c>
      <c r="AD39">
        <v>18.14</v>
      </c>
      <c r="AE39">
        <v>8</v>
      </c>
      <c r="AF39">
        <v>22</v>
      </c>
      <c r="AI39" t="s">
        <v>175</v>
      </c>
      <c r="AJ39">
        <v>12</v>
      </c>
      <c r="AK39">
        <v>6.92</v>
      </c>
      <c r="AL39">
        <v>2.3140000000000001</v>
      </c>
      <c r="AM39">
        <v>0.66800000000000004</v>
      </c>
      <c r="AN39">
        <v>5.45</v>
      </c>
      <c r="AO39">
        <v>8.39</v>
      </c>
      <c r="AP39">
        <v>3</v>
      </c>
      <c r="AQ39">
        <v>11</v>
      </c>
      <c r="AT39" t="s">
        <v>175</v>
      </c>
      <c r="AU39">
        <v>12</v>
      </c>
      <c r="AV39">
        <v>10.58</v>
      </c>
      <c r="AW39">
        <v>1.3109999999999999</v>
      </c>
      <c r="AX39">
        <v>0.379</v>
      </c>
      <c r="AY39">
        <v>9.75</v>
      </c>
      <c r="AZ39">
        <v>11.42</v>
      </c>
      <c r="BA39">
        <v>9</v>
      </c>
      <c r="BB39">
        <v>12</v>
      </c>
    </row>
    <row r="40" spans="1:54">
      <c r="B40" t="s">
        <v>176</v>
      </c>
      <c r="C40">
        <v>2</v>
      </c>
      <c r="D40">
        <v>32.5</v>
      </c>
      <c r="E40">
        <v>0.70699999999999996</v>
      </c>
      <c r="F40">
        <v>0.5</v>
      </c>
      <c r="G40">
        <v>26.15</v>
      </c>
      <c r="H40">
        <v>38.85</v>
      </c>
      <c r="I40">
        <v>32</v>
      </c>
      <c r="J40">
        <v>33</v>
      </c>
      <c r="M40" t="s">
        <v>176</v>
      </c>
      <c r="N40">
        <v>2</v>
      </c>
      <c r="O40">
        <v>25.5</v>
      </c>
      <c r="P40">
        <v>4.95</v>
      </c>
      <c r="Q40">
        <v>3.5</v>
      </c>
      <c r="R40">
        <v>-18.97</v>
      </c>
      <c r="S40">
        <v>69.97</v>
      </c>
      <c r="T40">
        <v>22</v>
      </c>
      <c r="U40">
        <v>29</v>
      </c>
      <c r="X40" t="s">
        <v>176</v>
      </c>
      <c r="Y40">
        <v>2</v>
      </c>
      <c r="Z40">
        <v>14</v>
      </c>
      <c r="AA40">
        <v>0</v>
      </c>
      <c r="AB40">
        <v>0</v>
      </c>
      <c r="AC40">
        <v>14</v>
      </c>
      <c r="AD40">
        <v>14</v>
      </c>
      <c r="AE40">
        <v>14</v>
      </c>
      <c r="AF40">
        <v>14</v>
      </c>
      <c r="AI40" t="s">
        <v>176</v>
      </c>
      <c r="AJ40">
        <v>2</v>
      </c>
      <c r="AK40">
        <v>7</v>
      </c>
      <c r="AL40">
        <v>1.4139999999999999</v>
      </c>
      <c r="AM40">
        <v>1</v>
      </c>
      <c r="AN40">
        <v>-5.71</v>
      </c>
      <c r="AO40">
        <v>19.71</v>
      </c>
      <c r="AP40">
        <v>6</v>
      </c>
      <c r="AQ40">
        <v>8</v>
      </c>
      <c r="AT40" t="s">
        <v>176</v>
      </c>
      <c r="AU40">
        <v>2</v>
      </c>
      <c r="AV40">
        <v>11.5</v>
      </c>
      <c r="AW40">
        <v>0.70699999999999996</v>
      </c>
      <c r="AX40">
        <v>0.5</v>
      </c>
      <c r="AY40">
        <v>5.15</v>
      </c>
      <c r="AZ40">
        <v>17.850000000000001</v>
      </c>
      <c r="BA40">
        <v>11</v>
      </c>
      <c r="BB40">
        <v>12</v>
      </c>
    </row>
    <row r="41" spans="1:54">
      <c r="B41" t="s">
        <v>177</v>
      </c>
      <c r="C41">
        <v>4</v>
      </c>
      <c r="D41">
        <v>23.5</v>
      </c>
      <c r="E41">
        <v>10.878</v>
      </c>
      <c r="F41">
        <v>5.4390000000000001</v>
      </c>
      <c r="G41">
        <v>6.19</v>
      </c>
      <c r="H41">
        <v>40.81</v>
      </c>
      <c r="I41">
        <v>8</v>
      </c>
      <c r="J41">
        <v>32</v>
      </c>
      <c r="M41" t="s">
        <v>177</v>
      </c>
      <c r="N41">
        <v>4</v>
      </c>
      <c r="O41">
        <v>13</v>
      </c>
      <c r="P41">
        <v>7.024</v>
      </c>
      <c r="Q41">
        <v>3.512</v>
      </c>
      <c r="R41">
        <v>1.82</v>
      </c>
      <c r="S41">
        <v>24.18</v>
      </c>
      <c r="T41">
        <v>6</v>
      </c>
      <c r="U41">
        <v>20</v>
      </c>
      <c r="X41" t="s">
        <v>177</v>
      </c>
      <c r="Y41">
        <v>4</v>
      </c>
      <c r="Z41">
        <v>15.5</v>
      </c>
      <c r="AA41">
        <v>2.6459999999999999</v>
      </c>
      <c r="AB41">
        <v>1.323</v>
      </c>
      <c r="AC41">
        <v>11.29</v>
      </c>
      <c r="AD41">
        <v>19.71</v>
      </c>
      <c r="AE41">
        <v>12</v>
      </c>
      <c r="AF41">
        <v>18</v>
      </c>
      <c r="AI41" t="s">
        <v>177</v>
      </c>
      <c r="AJ41">
        <v>4</v>
      </c>
      <c r="AK41">
        <v>5</v>
      </c>
      <c r="AL41">
        <v>3.1619999999999999</v>
      </c>
      <c r="AM41">
        <v>1.581</v>
      </c>
      <c r="AN41">
        <v>-0.03</v>
      </c>
      <c r="AO41">
        <v>10.029999999999999</v>
      </c>
      <c r="AP41">
        <v>1</v>
      </c>
      <c r="AQ41">
        <v>8</v>
      </c>
      <c r="AT41" t="s">
        <v>177</v>
      </c>
      <c r="AU41">
        <v>4</v>
      </c>
      <c r="AV41">
        <v>11</v>
      </c>
      <c r="AW41">
        <v>0.81599999999999995</v>
      </c>
      <c r="AX41">
        <v>0.40799999999999997</v>
      </c>
      <c r="AY41">
        <v>9.6999999999999993</v>
      </c>
      <c r="AZ41">
        <v>12.3</v>
      </c>
      <c r="BA41">
        <v>10</v>
      </c>
      <c r="BB41">
        <v>12</v>
      </c>
    </row>
    <row r="42" spans="1:54">
      <c r="B42" t="s">
        <v>178</v>
      </c>
      <c r="C42">
        <v>1</v>
      </c>
      <c r="D42">
        <v>5</v>
      </c>
      <c r="E42" t="s">
        <v>150</v>
      </c>
      <c r="F42" t="s">
        <v>150</v>
      </c>
      <c r="G42" t="s">
        <v>150</v>
      </c>
      <c r="H42" t="s">
        <v>150</v>
      </c>
      <c r="I42">
        <v>5</v>
      </c>
      <c r="J42">
        <v>5</v>
      </c>
      <c r="M42" t="s">
        <v>178</v>
      </c>
      <c r="N42">
        <v>1</v>
      </c>
      <c r="O42">
        <v>0</v>
      </c>
      <c r="P42" t="s">
        <v>150</v>
      </c>
      <c r="Q42" t="s">
        <v>150</v>
      </c>
      <c r="R42" t="s">
        <v>150</v>
      </c>
      <c r="S42" t="s">
        <v>150</v>
      </c>
      <c r="T42">
        <v>0</v>
      </c>
      <c r="U42">
        <v>0</v>
      </c>
      <c r="X42" t="s">
        <v>178</v>
      </c>
      <c r="Y42">
        <v>1</v>
      </c>
      <c r="Z42">
        <v>13</v>
      </c>
      <c r="AA42" t="s">
        <v>150</v>
      </c>
      <c r="AB42" t="s">
        <v>150</v>
      </c>
      <c r="AC42" t="s">
        <v>150</v>
      </c>
      <c r="AD42" t="s">
        <v>150</v>
      </c>
      <c r="AE42">
        <v>13</v>
      </c>
      <c r="AF42">
        <v>13</v>
      </c>
      <c r="AI42" t="s">
        <v>178</v>
      </c>
      <c r="AJ42">
        <v>1</v>
      </c>
      <c r="AK42">
        <v>6</v>
      </c>
      <c r="AL42" t="s">
        <v>150</v>
      </c>
      <c r="AM42" t="s">
        <v>150</v>
      </c>
      <c r="AN42" t="s">
        <v>150</v>
      </c>
      <c r="AO42" t="s">
        <v>150</v>
      </c>
      <c r="AP42">
        <v>6</v>
      </c>
      <c r="AQ42">
        <v>6</v>
      </c>
      <c r="AT42" t="s">
        <v>178</v>
      </c>
      <c r="AU42">
        <v>1</v>
      </c>
      <c r="AV42">
        <v>10</v>
      </c>
      <c r="AW42" t="s">
        <v>150</v>
      </c>
      <c r="AX42" t="s">
        <v>150</v>
      </c>
      <c r="AY42" t="s">
        <v>150</v>
      </c>
      <c r="AZ42" t="s">
        <v>150</v>
      </c>
      <c r="BA42">
        <v>10</v>
      </c>
      <c r="BB42">
        <v>10</v>
      </c>
    </row>
    <row r="43" spans="1:54">
      <c r="B43" t="s">
        <v>179</v>
      </c>
      <c r="C43">
        <v>2</v>
      </c>
      <c r="D43">
        <v>20</v>
      </c>
      <c r="E43">
        <v>2.8279999999999998</v>
      </c>
      <c r="F43">
        <v>2</v>
      </c>
      <c r="G43">
        <v>-5.41</v>
      </c>
      <c r="H43">
        <v>45.41</v>
      </c>
      <c r="I43">
        <v>18</v>
      </c>
      <c r="J43">
        <v>22</v>
      </c>
      <c r="M43" t="s">
        <v>179</v>
      </c>
      <c r="N43">
        <v>2</v>
      </c>
      <c r="O43">
        <v>14</v>
      </c>
      <c r="P43">
        <v>2.8279999999999998</v>
      </c>
      <c r="Q43">
        <v>2</v>
      </c>
      <c r="R43">
        <v>-11.41</v>
      </c>
      <c r="S43">
        <v>39.409999999999997</v>
      </c>
      <c r="T43">
        <v>12</v>
      </c>
      <c r="U43">
        <v>16</v>
      </c>
      <c r="X43" t="s">
        <v>179</v>
      </c>
      <c r="Y43">
        <v>2</v>
      </c>
      <c r="Z43">
        <v>12</v>
      </c>
      <c r="AA43">
        <v>2.8279999999999998</v>
      </c>
      <c r="AB43">
        <v>2</v>
      </c>
      <c r="AC43">
        <v>-13.41</v>
      </c>
      <c r="AD43">
        <v>37.409999999999997</v>
      </c>
      <c r="AE43">
        <v>10</v>
      </c>
      <c r="AF43">
        <v>14</v>
      </c>
      <c r="AI43" t="s">
        <v>179</v>
      </c>
      <c r="AJ43">
        <v>2</v>
      </c>
      <c r="AK43">
        <v>6.5</v>
      </c>
      <c r="AL43">
        <v>0.70699999999999996</v>
      </c>
      <c r="AM43">
        <v>0.5</v>
      </c>
      <c r="AN43">
        <v>0.15</v>
      </c>
      <c r="AO43">
        <v>12.85</v>
      </c>
      <c r="AP43">
        <v>6</v>
      </c>
      <c r="AQ43">
        <v>7</v>
      </c>
      <c r="AT43" t="s">
        <v>179</v>
      </c>
      <c r="AU43">
        <v>2</v>
      </c>
      <c r="AV43">
        <v>11</v>
      </c>
      <c r="AW43">
        <v>1.4139999999999999</v>
      </c>
      <c r="AX43">
        <v>1</v>
      </c>
      <c r="AY43">
        <v>-1.71</v>
      </c>
      <c r="AZ43">
        <v>23.71</v>
      </c>
      <c r="BA43">
        <v>10</v>
      </c>
      <c r="BB43">
        <v>12</v>
      </c>
    </row>
    <row r="44" spans="1:54">
      <c r="B44" t="s">
        <v>32</v>
      </c>
      <c r="C44">
        <v>42</v>
      </c>
      <c r="D44">
        <v>28.17</v>
      </c>
      <c r="E44">
        <v>7.6760000000000002</v>
      </c>
      <c r="F44">
        <v>1.1839999999999999</v>
      </c>
      <c r="G44">
        <v>25.77</v>
      </c>
      <c r="H44">
        <v>30.56</v>
      </c>
      <c r="I44">
        <v>5</v>
      </c>
      <c r="J44">
        <v>36</v>
      </c>
      <c r="M44" t="s">
        <v>32</v>
      </c>
      <c r="N44">
        <v>42</v>
      </c>
      <c r="O44">
        <v>19.55</v>
      </c>
      <c r="P44">
        <v>9.0289999999999999</v>
      </c>
      <c r="Q44">
        <v>1.393</v>
      </c>
      <c r="R44">
        <v>16.73</v>
      </c>
      <c r="S44">
        <v>22.36</v>
      </c>
      <c r="T44">
        <v>0</v>
      </c>
      <c r="U44">
        <v>34</v>
      </c>
      <c r="X44" t="s">
        <v>32</v>
      </c>
      <c r="Y44">
        <v>42</v>
      </c>
      <c r="Z44">
        <v>16.170000000000002</v>
      </c>
      <c r="AA44">
        <v>4.742</v>
      </c>
      <c r="AB44">
        <v>0.73199999999999998</v>
      </c>
      <c r="AC44">
        <v>14.69</v>
      </c>
      <c r="AD44">
        <v>17.64</v>
      </c>
      <c r="AE44">
        <v>8</v>
      </c>
      <c r="AF44">
        <v>26</v>
      </c>
      <c r="AI44" t="s">
        <v>32</v>
      </c>
      <c r="AJ44">
        <v>42</v>
      </c>
      <c r="AK44">
        <v>7.14</v>
      </c>
      <c r="AL44">
        <v>2.4649999999999999</v>
      </c>
      <c r="AM44">
        <v>0.38</v>
      </c>
      <c r="AN44">
        <v>6.37</v>
      </c>
      <c r="AO44">
        <v>7.91</v>
      </c>
      <c r="AP44">
        <v>1</v>
      </c>
      <c r="AQ44">
        <v>12</v>
      </c>
      <c r="AT44" t="s">
        <v>32</v>
      </c>
      <c r="AU44">
        <v>42</v>
      </c>
      <c r="AV44">
        <v>10.86</v>
      </c>
      <c r="AW44">
        <v>1.2010000000000001</v>
      </c>
      <c r="AX44">
        <v>0.185</v>
      </c>
      <c r="AY44">
        <v>10.48</v>
      </c>
      <c r="AZ44">
        <v>11.23</v>
      </c>
      <c r="BA44">
        <v>8</v>
      </c>
      <c r="BB44">
        <v>12</v>
      </c>
    </row>
    <row r="45" spans="1:54">
      <c r="A45" t="s">
        <v>10</v>
      </c>
      <c r="B45" t="s">
        <v>172</v>
      </c>
      <c r="C45">
        <v>7</v>
      </c>
      <c r="D45">
        <v>24.14</v>
      </c>
      <c r="E45">
        <v>13.146000000000001</v>
      </c>
      <c r="F45">
        <v>4.9690000000000003</v>
      </c>
      <c r="G45">
        <v>11.99</v>
      </c>
      <c r="H45">
        <v>36.299999999999997</v>
      </c>
      <c r="I45">
        <v>3</v>
      </c>
      <c r="J45">
        <v>36</v>
      </c>
      <c r="L45" t="s">
        <v>10</v>
      </c>
      <c r="M45" t="s">
        <v>172</v>
      </c>
      <c r="N45">
        <v>7</v>
      </c>
      <c r="O45">
        <v>18.57</v>
      </c>
      <c r="P45">
        <v>10.983000000000001</v>
      </c>
      <c r="Q45">
        <v>4.1509999999999998</v>
      </c>
      <c r="R45">
        <v>8.41</v>
      </c>
      <c r="S45">
        <v>28.73</v>
      </c>
      <c r="T45">
        <v>6</v>
      </c>
      <c r="U45">
        <v>32</v>
      </c>
      <c r="W45" t="s">
        <v>10</v>
      </c>
      <c r="X45" t="s">
        <v>172</v>
      </c>
      <c r="Y45">
        <v>7</v>
      </c>
      <c r="Z45">
        <v>16.86</v>
      </c>
      <c r="AA45">
        <v>5.3360000000000003</v>
      </c>
      <c r="AB45">
        <v>2.0169999999999999</v>
      </c>
      <c r="AC45">
        <v>11.92</v>
      </c>
      <c r="AD45">
        <v>21.79</v>
      </c>
      <c r="AE45">
        <v>11</v>
      </c>
      <c r="AF45">
        <v>24</v>
      </c>
      <c r="AH45" t="s">
        <v>10</v>
      </c>
      <c r="AI45" t="s">
        <v>172</v>
      </c>
      <c r="AJ45">
        <v>7</v>
      </c>
      <c r="AK45">
        <v>7.86</v>
      </c>
      <c r="AL45">
        <v>2.34</v>
      </c>
      <c r="AM45">
        <v>0.88400000000000001</v>
      </c>
      <c r="AN45">
        <v>5.69</v>
      </c>
      <c r="AO45">
        <v>10.02</v>
      </c>
      <c r="AP45">
        <v>5</v>
      </c>
      <c r="AQ45">
        <v>12</v>
      </c>
      <c r="AS45" t="s">
        <v>10</v>
      </c>
      <c r="AT45" t="s">
        <v>172</v>
      </c>
      <c r="AU45">
        <v>7</v>
      </c>
      <c r="AV45">
        <v>11.14</v>
      </c>
      <c r="AW45">
        <v>0.9</v>
      </c>
      <c r="AX45">
        <v>0.34</v>
      </c>
      <c r="AY45">
        <v>10.31</v>
      </c>
      <c r="AZ45">
        <v>11.97</v>
      </c>
      <c r="BA45">
        <v>10</v>
      </c>
      <c r="BB45">
        <v>12</v>
      </c>
    </row>
    <row r="46" spans="1:54">
      <c r="B46" t="s">
        <v>173</v>
      </c>
      <c r="C46">
        <v>8</v>
      </c>
      <c r="D46">
        <v>30.5</v>
      </c>
      <c r="E46">
        <v>8.5190000000000001</v>
      </c>
      <c r="F46">
        <v>3.012</v>
      </c>
      <c r="G46">
        <v>23.38</v>
      </c>
      <c r="H46">
        <v>37.619999999999997</v>
      </c>
      <c r="I46">
        <v>10</v>
      </c>
      <c r="J46">
        <v>36</v>
      </c>
      <c r="M46" t="s">
        <v>173</v>
      </c>
      <c r="N46">
        <v>8</v>
      </c>
      <c r="O46">
        <v>20.38</v>
      </c>
      <c r="P46">
        <v>8.0519999999999996</v>
      </c>
      <c r="Q46">
        <v>2.847</v>
      </c>
      <c r="R46">
        <v>13.64</v>
      </c>
      <c r="S46">
        <v>27.11</v>
      </c>
      <c r="T46">
        <v>9</v>
      </c>
      <c r="U46">
        <v>32</v>
      </c>
      <c r="X46" t="s">
        <v>173</v>
      </c>
      <c r="Y46">
        <v>8</v>
      </c>
      <c r="Z46">
        <v>17.38</v>
      </c>
      <c r="AA46">
        <v>4.4379999999999997</v>
      </c>
      <c r="AB46">
        <v>1.569</v>
      </c>
      <c r="AC46">
        <v>13.66</v>
      </c>
      <c r="AD46">
        <v>21.09</v>
      </c>
      <c r="AE46">
        <v>9</v>
      </c>
      <c r="AF46">
        <v>23</v>
      </c>
      <c r="AI46" t="s">
        <v>173</v>
      </c>
      <c r="AJ46">
        <v>8</v>
      </c>
      <c r="AK46">
        <v>7.5</v>
      </c>
      <c r="AL46">
        <v>1.6040000000000001</v>
      </c>
      <c r="AM46">
        <v>0.56699999999999995</v>
      </c>
      <c r="AN46">
        <v>6.16</v>
      </c>
      <c r="AO46">
        <v>8.84</v>
      </c>
      <c r="AP46">
        <v>5</v>
      </c>
      <c r="AQ46">
        <v>10</v>
      </c>
      <c r="AT46" t="s">
        <v>173</v>
      </c>
      <c r="AU46">
        <v>8</v>
      </c>
      <c r="AV46">
        <v>11</v>
      </c>
      <c r="AW46">
        <v>0.92600000000000005</v>
      </c>
      <c r="AX46">
        <v>0.32700000000000001</v>
      </c>
      <c r="AY46">
        <v>10.23</v>
      </c>
      <c r="AZ46">
        <v>11.77</v>
      </c>
      <c r="BA46">
        <v>10</v>
      </c>
      <c r="BB46">
        <v>12</v>
      </c>
    </row>
    <row r="47" spans="1:54">
      <c r="B47" t="s">
        <v>174</v>
      </c>
      <c r="C47">
        <v>6</v>
      </c>
      <c r="D47">
        <v>25.17</v>
      </c>
      <c r="E47">
        <v>7.5739999999999998</v>
      </c>
      <c r="F47">
        <v>3.0920000000000001</v>
      </c>
      <c r="G47">
        <v>17.22</v>
      </c>
      <c r="H47">
        <v>33.119999999999997</v>
      </c>
      <c r="I47">
        <v>12</v>
      </c>
      <c r="J47">
        <v>33</v>
      </c>
      <c r="M47" t="s">
        <v>174</v>
      </c>
      <c r="N47">
        <v>6</v>
      </c>
      <c r="O47">
        <v>12</v>
      </c>
      <c r="P47">
        <v>5.8310000000000004</v>
      </c>
      <c r="Q47">
        <v>2.38</v>
      </c>
      <c r="R47">
        <v>5.88</v>
      </c>
      <c r="S47">
        <v>18.12</v>
      </c>
      <c r="T47">
        <v>5</v>
      </c>
      <c r="U47">
        <v>22</v>
      </c>
      <c r="X47" t="s">
        <v>174</v>
      </c>
      <c r="Y47">
        <v>6</v>
      </c>
      <c r="Z47">
        <v>15.83</v>
      </c>
      <c r="AA47">
        <v>4.1189999999999998</v>
      </c>
      <c r="AB47">
        <v>1.6819999999999999</v>
      </c>
      <c r="AC47">
        <v>11.51</v>
      </c>
      <c r="AD47">
        <v>20.16</v>
      </c>
      <c r="AE47">
        <v>10</v>
      </c>
      <c r="AF47">
        <v>22</v>
      </c>
      <c r="AI47" t="s">
        <v>174</v>
      </c>
      <c r="AJ47">
        <v>6</v>
      </c>
      <c r="AK47">
        <v>7.5</v>
      </c>
      <c r="AL47">
        <v>2.0739999999999998</v>
      </c>
      <c r="AM47">
        <v>0.84699999999999998</v>
      </c>
      <c r="AN47">
        <v>5.32</v>
      </c>
      <c r="AO47">
        <v>9.68</v>
      </c>
      <c r="AP47">
        <v>4</v>
      </c>
      <c r="AQ47">
        <v>10</v>
      </c>
      <c r="AT47" t="s">
        <v>174</v>
      </c>
      <c r="AU47">
        <v>6</v>
      </c>
      <c r="AV47">
        <v>11</v>
      </c>
      <c r="AW47">
        <v>1.2649999999999999</v>
      </c>
      <c r="AX47">
        <v>0.51600000000000001</v>
      </c>
      <c r="AY47">
        <v>9.67</v>
      </c>
      <c r="AZ47">
        <v>12.33</v>
      </c>
      <c r="BA47">
        <v>9</v>
      </c>
      <c r="BB47">
        <v>12</v>
      </c>
    </row>
    <row r="48" spans="1:54">
      <c r="B48" t="s">
        <v>175</v>
      </c>
      <c r="C48">
        <v>11</v>
      </c>
      <c r="D48">
        <v>26.91</v>
      </c>
      <c r="E48">
        <v>8.3360000000000003</v>
      </c>
      <c r="F48">
        <v>2.5129999999999999</v>
      </c>
      <c r="G48">
        <v>21.31</v>
      </c>
      <c r="H48">
        <v>32.51</v>
      </c>
      <c r="I48">
        <v>14</v>
      </c>
      <c r="J48">
        <v>36</v>
      </c>
      <c r="M48" t="s">
        <v>175</v>
      </c>
      <c r="N48">
        <v>11</v>
      </c>
      <c r="O48">
        <v>15.73</v>
      </c>
      <c r="P48">
        <v>8.0259999999999998</v>
      </c>
      <c r="Q48">
        <v>2.42</v>
      </c>
      <c r="R48">
        <v>10.34</v>
      </c>
      <c r="S48">
        <v>21.12</v>
      </c>
      <c r="T48">
        <v>4</v>
      </c>
      <c r="U48">
        <v>28</v>
      </c>
      <c r="X48" t="s">
        <v>175</v>
      </c>
      <c r="Y48">
        <v>11</v>
      </c>
      <c r="Z48">
        <v>14.64</v>
      </c>
      <c r="AA48">
        <v>4.5010000000000003</v>
      </c>
      <c r="AB48">
        <v>1.357</v>
      </c>
      <c r="AC48">
        <v>11.61</v>
      </c>
      <c r="AD48">
        <v>17.66</v>
      </c>
      <c r="AE48">
        <v>10</v>
      </c>
      <c r="AF48">
        <v>23</v>
      </c>
      <c r="AI48" t="s">
        <v>175</v>
      </c>
      <c r="AJ48">
        <v>11</v>
      </c>
      <c r="AK48">
        <v>7.18</v>
      </c>
      <c r="AL48">
        <v>2.4830000000000001</v>
      </c>
      <c r="AM48">
        <v>0.749</v>
      </c>
      <c r="AN48">
        <v>5.51</v>
      </c>
      <c r="AO48">
        <v>8.85</v>
      </c>
      <c r="AP48">
        <v>4</v>
      </c>
      <c r="AQ48">
        <v>12</v>
      </c>
      <c r="AT48" t="s">
        <v>175</v>
      </c>
      <c r="AU48">
        <v>11</v>
      </c>
      <c r="AV48">
        <v>10.91</v>
      </c>
      <c r="AW48">
        <v>1.375</v>
      </c>
      <c r="AX48">
        <v>0.41499999999999998</v>
      </c>
      <c r="AY48">
        <v>9.99</v>
      </c>
      <c r="AZ48">
        <v>11.83</v>
      </c>
      <c r="BA48">
        <v>8</v>
      </c>
      <c r="BB48">
        <v>12</v>
      </c>
    </row>
    <row r="49" spans="1:54">
      <c r="B49" t="s">
        <v>176</v>
      </c>
      <c r="C49">
        <v>7</v>
      </c>
      <c r="D49">
        <v>25</v>
      </c>
      <c r="E49">
        <v>5.657</v>
      </c>
      <c r="F49">
        <v>2.1379999999999999</v>
      </c>
      <c r="G49">
        <v>19.77</v>
      </c>
      <c r="H49">
        <v>30.23</v>
      </c>
      <c r="I49">
        <v>18</v>
      </c>
      <c r="J49">
        <v>33</v>
      </c>
      <c r="M49" t="s">
        <v>176</v>
      </c>
      <c r="N49">
        <v>7</v>
      </c>
      <c r="O49">
        <v>13.86</v>
      </c>
      <c r="P49">
        <v>3.625</v>
      </c>
      <c r="Q49">
        <v>1.37</v>
      </c>
      <c r="R49">
        <v>10.5</v>
      </c>
      <c r="S49">
        <v>17.21</v>
      </c>
      <c r="T49">
        <v>9</v>
      </c>
      <c r="U49">
        <v>20</v>
      </c>
      <c r="X49" t="s">
        <v>176</v>
      </c>
      <c r="Y49">
        <v>7</v>
      </c>
      <c r="Z49">
        <v>11.86</v>
      </c>
      <c r="AA49">
        <v>3.1850000000000001</v>
      </c>
      <c r="AB49">
        <v>1.204</v>
      </c>
      <c r="AC49">
        <v>8.91</v>
      </c>
      <c r="AD49">
        <v>14.8</v>
      </c>
      <c r="AE49">
        <v>8</v>
      </c>
      <c r="AF49">
        <v>17</v>
      </c>
      <c r="AI49" t="s">
        <v>176</v>
      </c>
      <c r="AJ49">
        <v>7</v>
      </c>
      <c r="AK49">
        <v>7</v>
      </c>
      <c r="AL49">
        <v>1.915</v>
      </c>
      <c r="AM49">
        <v>0.72399999999999998</v>
      </c>
      <c r="AN49">
        <v>5.23</v>
      </c>
      <c r="AO49">
        <v>8.77</v>
      </c>
      <c r="AP49">
        <v>4</v>
      </c>
      <c r="AQ49">
        <v>9</v>
      </c>
      <c r="AT49" t="s">
        <v>176</v>
      </c>
      <c r="AU49">
        <v>7</v>
      </c>
      <c r="AV49">
        <v>10.43</v>
      </c>
      <c r="AW49">
        <v>2.44</v>
      </c>
      <c r="AX49">
        <v>0.92200000000000004</v>
      </c>
      <c r="AY49">
        <v>8.17</v>
      </c>
      <c r="AZ49">
        <v>12.68</v>
      </c>
      <c r="BA49">
        <v>6</v>
      </c>
      <c r="BB49">
        <v>12</v>
      </c>
    </row>
    <row r="50" spans="1:54">
      <c r="B50" t="s">
        <v>177</v>
      </c>
      <c r="C50">
        <v>2</v>
      </c>
      <c r="D50">
        <v>18.5</v>
      </c>
      <c r="E50">
        <v>2.121</v>
      </c>
      <c r="F50">
        <v>1.5</v>
      </c>
      <c r="G50">
        <v>-0.56000000000000005</v>
      </c>
      <c r="H50">
        <v>37.56</v>
      </c>
      <c r="I50">
        <v>17</v>
      </c>
      <c r="J50">
        <v>20</v>
      </c>
      <c r="M50" t="s">
        <v>177</v>
      </c>
      <c r="N50">
        <v>2</v>
      </c>
      <c r="O50">
        <v>10.5</v>
      </c>
      <c r="P50">
        <v>2.121</v>
      </c>
      <c r="Q50">
        <v>1.5</v>
      </c>
      <c r="R50">
        <v>-8.56</v>
      </c>
      <c r="S50">
        <v>29.56</v>
      </c>
      <c r="T50">
        <v>9</v>
      </c>
      <c r="U50">
        <v>12</v>
      </c>
      <c r="X50" t="s">
        <v>177</v>
      </c>
      <c r="Y50">
        <v>2</v>
      </c>
      <c r="Z50">
        <v>9</v>
      </c>
      <c r="AA50">
        <v>2.8279999999999998</v>
      </c>
      <c r="AB50">
        <v>2</v>
      </c>
      <c r="AC50">
        <v>-16.41</v>
      </c>
      <c r="AD50">
        <v>34.409999999999997</v>
      </c>
      <c r="AE50">
        <v>7</v>
      </c>
      <c r="AF50">
        <v>11</v>
      </c>
      <c r="AI50" t="s">
        <v>177</v>
      </c>
      <c r="AJ50">
        <v>2</v>
      </c>
      <c r="AK50">
        <v>3.5</v>
      </c>
      <c r="AL50">
        <v>3.536</v>
      </c>
      <c r="AM50">
        <v>2.5</v>
      </c>
      <c r="AN50">
        <v>-28.27</v>
      </c>
      <c r="AO50">
        <v>35.270000000000003</v>
      </c>
      <c r="AP50">
        <v>1</v>
      </c>
      <c r="AQ50">
        <v>6</v>
      </c>
      <c r="AT50" t="s">
        <v>177</v>
      </c>
      <c r="AU50">
        <v>2</v>
      </c>
      <c r="AV50">
        <v>8</v>
      </c>
      <c r="AW50">
        <v>2.8279999999999998</v>
      </c>
      <c r="AX50">
        <v>2</v>
      </c>
      <c r="AY50">
        <v>-17.41</v>
      </c>
      <c r="AZ50">
        <v>33.409999999999997</v>
      </c>
      <c r="BA50">
        <v>6</v>
      </c>
      <c r="BB50">
        <v>10</v>
      </c>
    </row>
    <row r="51" spans="1:54">
      <c r="B51" t="s">
        <v>178</v>
      </c>
      <c r="C51">
        <v>4</v>
      </c>
      <c r="D51">
        <v>13</v>
      </c>
      <c r="E51">
        <v>5.5979999999999999</v>
      </c>
      <c r="F51">
        <v>2.7989999999999999</v>
      </c>
      <c r="G51">
        <v>4.09</v>
      </c>
      <c r="H51">
        <v>21.91</v>
      </c>
      <c r="I51">
        <v>8</v>
      </c>
      <c r="J51">
        <v>20</v>
      </c>
      <c r="M51" t="s">
        <v>178</v>
      </c>
      <c r="N51">
        <v>4</v>
      </c>
      <c r="O51">
        <v>6.25</v>
      </c>
      <c r="P51">
        <v>2.363</v>
      </c>
      <c r="Q51">
        <v>1.181</v>
      </c>
      <c r="R51">
        <v>2.4900000000000002</v>
      </c>
      <c r="S51">
        <v>10.01</v>
      </c>
      <c r="T51">
        <v>3</v>
      </c>
      <c r="U51">
        <v>8</v>
      </c>
      <c r="X51" t="s">
        <v>178</v>
      </c>
      <c r="Y51">
        <v>4</v>
      </c>
      <c r="Z51">
        <v>10.75</v>
      </c>
      <c r="AA51">
        <v>2.2170000000000001</v>
      </c>
      <c r="AB51">
        <v>1.109</v>
      </c>
      <c r="AC51">
        <v>7.22</v>
      </c>
      <c r="AD51">
        <v>14.28</v>
      </c>
      <c r="AE51">
        <v>8</v>
      </c>
      <c r="AF51">
        <v>13</v>
      </c>
      <c r="AI51" t="s">
        <v>178</v>
      </c>
      <c r="AJ51">
        <v>4</v>
      </c>
      <c r="AK51">
        <v>4.25</v>
      </c>
      <c r="AL51">
        <v>2.363</v>
      </c>
      <c r="AM51">
        <v>1.181</v>
      </c>
      <c r="AN51">
        <v>0.49</v>
      </c>
      <c r="AO51">
        <v>8.01</v>
      </c>
      <c r="AP51">
        <v>1</v>
      </c>
      <c r="AQ51">
        <v>6</v>
      </c>
      <c r="AT51" t="s">
        <v>178</v>
      </c>
      <c r="AU51">
        <v>4</v>
      </c>
      <c r="AV51">
        <v>9</v>
      </c>
      <c r="AW51">
        <v>2.7080000000000002</v>
      </c>
      <c r="AX51">
        <v>1.3540000000000001</v>
      </c>
      <c r="AY51">
        <v>4.6900000000000004</v>
      </c>
      <c r="AZ51">
        <v>13.31</v>
      </c>
      <c r="BA51">
        <v>5</v>
      </c>
      <c r="BB51">
        <v>11</v>
      </c>
    </row>
    <row r="52" spans="1:54">
      <c r="B52" t="s">
        <v>180</v>
      </c>
      <c r="C52">
        <v>1</v>
      </c>
      <c r="D52">
        <v>17</v>
      </c>
      <c r="E52" t="s">
        <v>150</v>
      </c>
      <c r="F52" t="s">
        <v>150</v>
      </c>
      <c r="G52" t="s">
        <v>150</v>
      </c>
      <c r="H52" t="s">
        <v>150</v>
      </c>
      <c r="I52">
        <v>17</v>
      </c>
      <c r="J52">
        <v>17</v>
      </c>
      <c r="M52" t="s">
        <v>180</v>
      </c>
      <c r="N52">
        <v>1</v>
      </c>
      <c r="O52">
        <v>12</v>
      </c>
      <c r="P52" t="s">
        <v>150</v>
      </c>
      <c r="Q52" t="s">
        <v>150</v>
      </c>
      <c r="R52" t="s">
        <v>150</v>
      </c>
      <c r="S52" t="s">
        <v>150</v>
      </c>
      <c r="T52">
        <v>12</v>
      </c>
      <c r="U52">
        <v>12</v>
      </c>
      <c r="X52" t="s">
        <v>180</v>
      </c>
      <c r="Y52">
        <v>1</v>
      </c>
      <c r="Z52">
        <v>12</v>
      </c>
      <c r="AA52" t="s">
        <v>150</v>
      </c>
      <c r="AB52" t="s">
        <v>150</v>
      </c>
      <c r="AC52" t="s">
        <v>150</v>
      </c>
      <c r="AD52" t="s">
        <v>150</v>
      </c>
      <c r="AE52">
        <v>12</v>
      </c>
      <c r="AF52">
        <v>12</v>
      </c>
      <c r="AI52" t="s">
        <v>180</v>
      </c>
      <c r="AJ52">
        <v>1</v>
      </c>
      <c r="AK52">
        <v>7</v>
      </c>
      <c r="AL52" t="s">
        <v>150</v>
      </c>
      <c r="AM52" t="s">
        <v>150</v>
      </c>
      <c r="AN52" t="s">
        <v>150</v>
      </c>
      <c r="AO52" t="s">
        <v>150</v>
      </c>
      <c r="AP52">
        <v>7</v>
      </c>
      <c r="AQ52">
        <v>7</v>
      </c>
      <c r="AT52" t="s">
        <v>180</v>
      </c>
      <c r="AU52">
        <v>1</v>
      </c>
      <c r="AV52">
        <v>12</v>
      </c>
      <c r="AW52" t="s">
        <v>150</v>
      </c>
      <c r="AX52" t="s">
        <v>150</v>
      </c>
      <c r="AY52" t="s">
        <v>150</v>
      </c>
      <c r="AZ52" t="s">
        <v>150</v>
      </c>
      <c r="BA52">
        <v>12</v>
      </c>
      <c r="BB52">
        <v>12</v>
      </c>
    </row>
    <row r="53" spans="1:54">
      <c r="B53" t="s">
        <v>32</v>
      </c>
      <c r="C53">
        <v>46</v>
      </c>
      <c r="D53">
        <v>24.8</v>
      </c>
      <c r="E53">
        <v>9.2219999999999995</v>
      </c>
      <c r="F53">
        <v>1.36</v>
      </c>
      <c r="G53">
        <v>22.07</v>
      </c>
      <c r="H53">
        <v>27.54</v>
      </c>
      <c r="I53">
        <v>3</v>
      </c>
      <c r="J53">
        <v>36</v>
      </c>
      <c r="M53" t="s">
        <v>32</v>
      </c>
      <c r="N53">
        <v>46</v>
      </c>
      <c r="O53">
        <v>15.07</v>
      </c>
      <c r="P53">
        <v>7.94</v>
      </c>
      <c r="Q53">
        <v>1.171</v>
      </c>
      <c r="R53">
        <v>12.71</v>
      </c>
      <c r="S53">
        <v>17.420000000000002</v>
      </c>
      <c r="T53">
        <v>3</v>
      </c>
      <c r="U53">
        <v>32</v>
      </c>
      <c r="X53" t="s">
        <v>32</v>
      </c>
      <c r="Y53">
        <v>46</v>
      </c>
      <c r="Z53">
        <v>14.54</v>
      </c>
      <c r="AA53">
        <v>4.6369999999999996</v>
      </c>
      <c r="AB53">
        <v>0.68400000000000005</v>
      </c>
      <c r="AC53">
        <v>13.17</v>
      </c>
      <c r="AD53">
        <v>15.92</v>
      </c>
      <c r="AE53">
        <v>7</v>
      </c>
      <c r="AF53">
        <v>24</v>
      </c>
      <c r="AI53" t="s">
        <v>32</v>
      </c>
      <c r="AJ53">
        <v>46</v>
      </c>
      <c r="AK53">
        <v>6.93</v>
      </c>
      <c r="AL53">
        <v>2.351</v>
      </c>
      <c r="AM53">
        <v>0.34699999999999998</v>
      </c>
      <c r="AN53">
        <v>6.24</v>
      </c>
      <c r="AO53">
        <v>7.63</v>
      </c>
      <c r="AP53">
        <v>1</v>
      </c>
      <c r="AQ53">
        <v>12</v>
      </c>
      <c r="AT53" t="s">
        <v>32</v>
      </c>
      <c r="AU53">
        <v>46</v>
      </c>
      <c r="AV53">
        <v>10.63</v>
      </c>
      <c r="AW53">
        <v>1.73</v>
      </c>
      <c r="AX53">
        <v>0.255</v>
      </c>
      <c r="AY53">
        <v>10.119999999999999</v>
      </c>
      <c r="AZ53">
        <v>11.14</v>
      </c>
      <c r="BA53">
        <v>5</v>
      </c>
      <c r="BB53">
        <v>12</v>
      </c>
    </row>
    <row r="56" spans="1:54">
      <c r="A56" t="s">
        <v>153</v>
      </c>
      <c r="L56" t="s">
        <v>153</v>
      </c>
      <c r="W56" t="s">
        <v>153</v>
      </c>
      <c r="AH56" t="s">
        <v>153</v>
      </c>
      <c r="AS56" t="s">
        <v>153</v>
      </c>
    </row>
    <row r="57" spans="1:54">
      <c r="A57" t="s">
        <v>154</v>
      </c>
      <c r="L57" t="s">
        <v>184</v>
      </c>
      <c r="W57" t="s">
        <v>185</v>
      </c>
      <c r="AH57" t="s">
        <v>186</v>
      </c>
      <c r="AS57" t="s">
        <v>187</v>
      </c>
    </row>
    <row r="58" spans="1:54">
      <c r="A58" t="s">
        <v>1</v>
      </c>
      <c r="B58" s="90" t="s">
        <v>181</v>
      </c>
      <c r="C58" t="s">
        <v>155</v>
      </c>
      <c r="D58" t="s">
        <v>156</v>
      </c>
      <c r="E58" t="s">
        <v>157</v>
      </c>
      <c r="F58" t="s">
        <v>158</v>
      </c>
      <c r="G58" t="s">
        <v>159</v>
      </c>
      <c r="I58" t="s">
        <v>160</v>
      </c>
      <c r="J58" t="s">
        <v>161</v>
      </c>
      <c r="L58" t="s">
        <v>1</v>
      </c>
      <c r="M58" t="s">
        <v>181</v>
      </c>
      <c r="N58" t="s">
        <v>155</v>
      </c>
      <c r="O58" t="s">
        <v>156</v>
      </c>
      <c r="P58" t="s">
        <v>157</v>
      </c>
      <c r="Q58" t="s">
        <v>158</v>
      </c>
      <c r="R58" t="s">
        <v>159</v>
      </c>
      <c r="T58" t="s">
        <v>160</v>
      </c>
      <c r="U58" t="s">
        <v>161</v>
      </c>
      <c r="W58" t="s">
        <v>1</v>
      </c>
      <c r="Y58" t="s">
        <v>155</v>
      </c>
      <c r="Z58" t="s">
        <v>156</v>
      </c>
      <c r="AA58" t="s">
        <v>157</v>
      </c>
      <c r="AB58" t="s">
        <v>158</v>
      </c>
      <c r="AC58" t="s">
        <v>159</v>
      </c>
      <c r="AE58" t="s">
        <v>160</v>
      </c>
      <c r="AF58" t="s">
        <v>161</v>
      </c>
      <c r="AH58" t="s">
        <v>1</v>
      </c>
      <c r="AJ58" t="s">
        <v>155</v>
      </c>
      <c r="AK58" t="s">
        <v>156</v>
      </c>
      <c r="AL58" t="s">
        <v>157</v>
      </c>
      <c r="AM58" t="s">
        <v>158</v>
      </c>
      <c r="AN58" t="s">
        <v>159</v>
      </c>
      <c r="AP58" t="s">
        <v>160</v>
      </c>
      <c r="AQ58" t="s">
        <v>161</v>
      </c>
      <c r="AS58" t="s">
        <v>1</v>
      </c>
      <c r="AU58" t="s">
        <v>155</v>
      </c>
      <c r="AV58" t="s">
        <v>156</v>
      </c>
      <c r="AW58" t="s">
        <v>157</v>
      </c>
      <c r="AX58" t="s">
        <v>158</v>
      </c>
      <c r="AY58" t="s">
        <v>159</v>
      </c>
      <c r="BA58" t="s">
        <v>160</v>
      </c>
      <c r="BB58" t="s">
        <v>161</v>
      </c>
    </row>
    <row r="59" spans="1:54">
      <c r="G59" t="s">
        <v>162</v>
      </c>
      <c r="H59" t="s">
        <v>163</v>
      </c>
      <c r="R59" t="s">
        <v>162</v>
      </c>
      <c r="S59" t="s">
        <v>163</v>
      </c>
      <c r="AC59" t="s">
        <v>162</v>
      </c>
      <c r="AD59" t="s">
        <v>163</v>
      </c>
      <c r="AN59" t="s">
        <v>162</v>
      </c>
      <c r="AO59" t="s">
        <v>163</v>
      </c>
      <c r="AY59" t="s">
        <v>162</v>
      </c>
      <c r="AZ59" t="s">
        <v>163</v>
      </c>
    </row>
    <row r="60" spans="1:54">
      <c r="A60" t="s">
        <v>9</v>
      </c>
      <c r="B60" t="s">
        <v>68</v>
      </c>
      <c r="C60">
        <v>16</v>
      </c>
      <c r="D60">
        <v>28.31</v>
      </c>
      <c r="E60">
        <v>8.1460000000000008</v>
      </c>
      <c r="F60">
        <v>2.0369999999999999</v>
      </c>
      <c r="G60">
        <v>23.97</v>
      </c>
      <c r="H60">
        <v>32.65</v>
      </c>
      <c r="I60">
        <v>12</v>
      </c>
      <c r="J60">
        <v>36</v>
      </c>
      <c r="L60" t="s">
        <v>9</v>
      </c>
      <c r="M60" s="80" t="s">
        <v>68</v>
      </c>
      <c r="N60">
        <v>16</v>
      </c>
      <c r="O60">
        <v>19.809999999999999</v>
      </c>
      <c r="P60">
        <v>10.858000000000001</v>
      </c>
      <c r="Q60">
        <v>2.714</v>
      </c>
      <c r="R60">
        <v>14.03</v>
      </c>
      <c r="S60">
        <v>25.6</v>
      </c>
      <c r="T60">
        <v>5</v>
      </c>
      <c r="U60">
        <v>34</v>
      </c>
      <c r="W60" t="s">
        <v>9</v>
      </c>
      <c r="X60">
        <v>1</v>
      </c>
      <c r="Y60">
        <v>16</v>
      </c>
      <c r="Z60">
        <v>14.13</v>
      </c>
      <c r="AA60">
        <v>4.3490000000000002</v>
      </c>
      <c r="AB60">
        <v>1.087</v>
      </c>
      <c r="AC60">
        <v>11.81</v>
      </c>
      <c r="AD60">
        <v>16.440000000000001</v>
      </c>
      <c r="AE60">
        <v>8</v>
      </c>
      <c r="AF60">
        <v>22</v>
      </c>
      <c r="AH60" t="s">
        <v>9</v>
      </c>
      <c r="AI60">
        <v>1</v>
      </c>
      <c r="AJ60">
        <v>16</v>
      </c>
      <c r="AK60">
        <v>6.63</v>
      </c>
      <c r="AL60">
        <v>2.2770000000000001</v>
      </c>
      <c r="AM60">
        <v>0.56899999999999995</v>
      </c>
      <c r="AN60">
        <v>5.41</v>
      </c>
      <c r="AO60">
        <v>7.84</v>
      </c>
      <c r="AP60">
        <v>2</v>
      </c>
      <c r="AQ60">
        <v>10</v>
      </c>
      <c r="AS60" t="s">
        <v>9</v>
      </c>
      <c r="AT60">
        <v>1</v>
      </c>
      <c r="AU60">
        <v>16</v>
      </c>
      <c r="AV60">
        <v>10.81</v>
      </c>
      <c r="AW60">
        <v>1.276</v>
      </c>
      <c r="AX60">
        <v>0.31900000000000001</v>
      </c>
      <c r="AY60">
        <v>10.130000000000001</v>
      </c>
      <c r="AZ60">
        <v>11.49</v>
      </c>
      <c r="BA60">
        <v>8</v>
      </c>
      <c r="BB60">
        <v>12</v>
      </c>
    </row>
    <row r="61" spans="1:54">
      <c r="B61" t="s">
        <v>3</v>
      </c>
      <c r="C61">
        <v>19</v>
      </c>
      <c r="D61">
        <v>27.16</v>
      </c>
      <c r="E61">
        <v>8.3550000000000004</v>
      </c>
      <c r="F61">
        <v>1.917</v>
      </c>
      <c r="G61">
        <v>23.13</v>
      </c>
      <c r="H61">
        <v>31.18</v>
      </c>
      <c r="I61">
        <v>5</v>
      </c>
      <c r="J61">
        <v>35</v>
      </c>
      <c r="M61" s="80" t="s">
        <v>3</v>
      </c>
      <c r="N61">
        <v>19</v>
      </c>
      <c r="O61">
        <v>18.47</v>
      </c>
      <c r="P61">
        <v>8.6370000000000005</v>
      </c>
      <c r="Q61">
        <v>1.9810000000000001</v>
      </c>
      <c r="R61">
        <v>14.31</v>
      </c>
      <c r="S61">
        <v>22.64</v>
      </c>
      <c r="T61">
        <v>0</v>
      </c>
      <c r="U61">
        <v>32</v>
      </c>
      <c r="X61">
        <v>3</v>
      </c>
      <c r="Y61">
        <v>19</v>
      </c>
      <c r="Z61">
        <v>17.95</v>
      </c>
      <c r="AA61">
        <v>3.6429999999999998</v>
      </c>
      <c r="AB61">
        <v>0.83599999999999997</v>
      </c>
      <c r="AC61">
        <v>16.190000000000001</v>
      </c>
      <c r="AD61">
        <v>19.7</v>
      </c>
      <c r="AE61">
        <v>13</v>
      </c>
      <c r="AF61">
        <v>26</v>
      </c>
      <c r="AI61">
        <v>3</v>
      </c>
      <c r="AJ61">
        <v>19</v>
      </c>
      <c r="AK61">
        <v>7.74</v>
      </c>
      <c r="AL61">
        <v>2.2570000000000001</v>
      </c>
      <c r="AM61">
        <v>0.51800000000000002</v>
      </c>
      <c r="AN61">
        <v>6.65</v>
      </c>
      <c r="AO61">
        <v>8.82</v>
      </c>
      <c r="AP61">
        <v>4</v>
      </c>
      <c r="AQ61">
        <v>12</v>
      </c>
      <c r="AT61">
        <v>3</v>
      </c>
      <c r="AU61">
        <v>19</v>
      </c>
      <c r="AV61">
        <v>10.84</v>
      </c>
      <c r="AW61">
        <v>1.214</v>
      </c>
      <c r="AX61">
        <v>0.27900000000000003</v>
      </c>
      <c r="AY61">
        <v>10.26</v>
      </c>
      <c r="AZ61">
        <v>11.43</v>
      </c>
      <c r="BA61">
        <v>9</v>
      </c>
      <c r="BB61">
        <v>12</v>
      </c>
    </row>
    <row r="62" spans="1:54">
      <c r="B62" t="s">
        <v>165</v>
      </c>
      <c r="C62">
        <v>7</v>
      </c>
      <c r="D62">
        <v>30.57</v>
      </c>
      <c r="E62">
        <v>4.1580000000000004</v>
      </c>
      <c r="F62">
        <v>1.571</v>
      </c>
      <c r="G62">
        <v>26.73</v>
      </c>
      <c r="H62">
        <v>34.42</v>
      </c>
      <c r="I62">
        <v>24</v>
      </c>
      <c r="J62">
        <v>36</v>
      </c>
      <c r="M62" s="80" t="s">
        <v>165</v>
      </c>
      <c r="N62">
        <v>7</v>
      </c>
      <c r="O62">
        <v>21.86</v>
      </c>
      <c r="P62">
        <v>5.3360000000000003</v>
      </c>
      <c r="Q62">
        <v>2.0169999999999999</v>
      </c>
      <c r="R62">
        <v>16.920000000000002</v>
      </c>
      <c r="S62">
        <v>26.79</v>
      </c>
      <c r="T62">
        <v>12</v>
      </c>
      <c r="U62">
        <v>27</v>
      </c>
      <c r="X62">
        <v>4</v>
      </c>
      <c r="Y62">
        <v>7</v>
      </c>
      <c r="Z62">
        <v>16</v>
      </c>
      <c r="AA62">
        <v>6.7329999999999997</v>
      </c>
      <c r="AB62">
        <v>2.5449999999999999</v>
      </c>
      <c r="AC62">
        <v>9.77</v>
      </c>
      <c r="AD62">
        <v>22.23</v>
      </c>
      <c r="AE62">
        <v>8</v>
      </c>
      <c r="AF62">
        <v>26</v>
      </c>
      <c r="AI62">
        <v>4</v>
      </c>
      <c r="AJ62">
        <v>7</v>
      </c>
      <c r="AK62">
        <v>6.71</v>
      </c>
      <c r="AL62">
        <v>3.3519999999999999</v>
      </c>
      <c r="AM62">
        <v>1.2669999999999999</v>
      </c>
      <c r="AN62">
        <v>3.61</v>
      </c>
      <c r="AO62">
        <v>9.81</v>
      </c>
      <c r="AP62">
        <v>1</v>
      </c>
      <c r="AQ62">
        <v>10</v>
      </c>
      <c r="AT62">
        <v>4</v>
      </c>
      <c r="AU62">
        <v>7</v>
      </c>
      <c r="AV62">
        <v>11</v>
      </c>
      <c r="AW62">
        <v>1.155</v>
      </c>
      <c r="AX62">
        <v>0.436</v>
      </c>
      <c r="AY62">
        <v>9.93</v>
      </c>
      <c r="AZ62">
        <v>12.07</v>
      </c>
      <c r="BA62">
        <v>9</v>
      </c>
      <c r="BB62">
        <v>12</v>
      </c>
    </row>
    <row r="63" spans="1:54">
      <c r="B63" t="s">
        <v>32</v>
      </c>
      <c r="C63">
        <v>42</v>
      </c>
      <c r="D63">
        <v>28.17</v>
      </c>
      <c r="E63">
        <v>7.6760000000000002</v>
      </c>
      <c r="F63">
        <v>1.1839999999999999</v>
      </c>
      <c r="G63">
        <v>25.77</v>
      </c>
      <c r="H63">
        <v>30.56</v>
      </c>
      <c r="I63">
        <v>5</v>
      </c>
      <c r="J63">
        <v>36</v>
      </c>
      <c r="M63" s="80" t="s">
        <v>32</v>
      </c>
      <c r="N63">
        <v>42</v>
      </c>
      <c r="O63">
        <v>19.55</v>
      </c>
      <c r="P63">
        <v>9.0289999999999999</v>
      </c>
      <c r="Q63">
        <v>1.393</v>
      </c>
      <c r="R63">
        <v>16.73</v>
      </c>
      <c r="S63">
        <v>22.36</v>
      </c>
      <c r="T63">
        <v>0</v>
      </c>
      <c r="U63">
        <v>34</v>
      </c>
      <c r="X63" t="s">
        <v>32</v>
      </c>
      <c r="Y63">
        <v>42</v>
      </c>
      <c r="Z63">
        <v>16.170000000000002</v>
      </c>
      <c r="AA63">
        <v>4.742</v>
      </c>
      <c r="AB63">
        <v>0.73199999999999998</v>
      </c>
      <c r="AC63">
        <v>14.69</v>
      </c>
      <c r="AD63">
        <v>17.64</v>
      </c>
      <c r="AE63">
        <v>8</v>
      </c>
      <c r="AF63">
        <v>26</v>
      </c>
      <c r="AI63" t="s">
        <v>32</v>
      </c>
      <c r="AJ63">
        <v>42</v>
      </c>
      <c r="AK63">
        <v>7.14</v>
      </c>
      <c r="AL63">
        <v>2.4649999999999999</v>
      </c>
      <c r="AM63">
        <v>0.38</v>
      </c>
      <c r="AN63">
        <v>6.37</v>
      </c>
      <c r="AO63">
        <v>7.91</v>
      </c>
      <c r="AP63">
        <v>1</v>
      </c>
      <c r="AQ63">
        <v>12</v>
      </c>
      <c r="AT63" t="s">
        <v>32</v>
      </c>
      <c r="AU63">
        <v>42</v>
      </c>
      <c r="AV63">
        <v>10.86</v>
      </c>
      <c r="AW63">
        <v>1.2010000000000001</v>
      </c>
      <c r="AX63">
        <v>0.185</v>
      </c>
      <c r="AY63">
        <v>10.48</v>
      </c>
      <c r="AZ63">
        <v>11.23</v>
      </c>
      <c r="BA63">
        <v>8</v>
      </c>
      <c r="BB63">
        <v>12</v>
      </c>
    </row>
    <row r="64" spans="1:54">
      <c r="A64" t="s">
        <v>10</v>
      </c>
      <c r="B64" s="80" t="s">
        <v>68</v>
      </c>
      <c r="C64">
        <v>24</v>
      </c>
      <c r="D64">
        <v>25.29</v>
      </c>
      <c r="E64">
        <v>8.343</v>
      </c>
      <c r="F64">
        <v>1.7030000000000001</v>
      </c>
      <c r="G64">
        <v>21.77</v>
      </c>
      <c r="H64">
        <v>28.81</v>
      </c>
      <c r="I64">
        <v>10</v>
      </c>
      <c r="J64">
        <v>36</v>
      </c>
      <c r="L64" t="s">
        <v>10</v>
      </c>
      <c r="M64" s="80" t="s">
        <v>68</v>
      </c>
      <c r="N64">
        <v>24</v>
      </c>
      <c r="O64">
        <v>16.75</v>
      </c>
      <c r="P64">
        <v>8.4450000000000003</v>
      </c>
      <c r="Q64">
        <v>1.724</v>
      </c>
      <c r="R64">
        <v>13.18</v>
      </c>
      <c r="S64">
        <v>20.32</v>
      </c>
      <c r="T64">
        <v>7</v>
      </c>
      <c r="U64">
        <v>32</v>
      </c>
      <c r="W64" t="s">
        <v>10</v>
      </c>
      <c r="X64">
        <v>1</v>
      </c>
      <c r="Y64">
        <v>24</v>
      </c>
      <c r="Z64">
        <v>14.67</v>
      </c>
      <c r="AA64">
        <v>4.806</v>
      </c>
      <c r="AB64">
        <v>0.98099999999999998</v>
      </c>
      <c r="AC64">
        <v>12.64</v>
      </c>
      <c r="AD64">
        <v>16.7</v>
      </c>
      <c r="AE64">
        <v>7</v>
      </c>
      <c r="AF64">
        <v>23</v>
      </c>
      <c r="AH64" t="s">
        <v>10</v>
      </c>
      <c r="AI64">
        <v>1</v>
      </c>
      <c r="AJ64">
        <v>24</v>
      </c>
      <c r="AK64">
        <v>6.79</v>
      </c>
      <c r="AL64">
        <v>2.2650000000000001</v>
      </c>
      <c r="AM64">
        <v>0.46200000000000002</v>
      </c>
      <c r="AN64">
        <v>5.84</v>
      </c>
      <c r="AO64">
        <v>7.75</v>
      </c>
      <c r="AP64">
        <v>1</v>
      </c>
      <c r="AQ64">
        <v>12</v>
      </c>
      <c r="AS64" t="s">
        <v>10</v>
      </c>
      <c r="AT64">
        <v>1</v>
      </c>
      <c r="AU64">
        <v>24</v>
      </c>
      <c r="AV64">
        <v>10.25</v>
      </c>
      <c r="AW64">
        <v>1.8240000000000001</v>
      </c>
      <c r="AX64">
        <v>0.372</v>
      </c>
      <c r="AY64">
        <v>9.48</v>
      </c>
      <c r="AZ64">
        <v>11.02</v>
      </c>
      <c r="BA64">
        <v>6</v>
      </c>
      <c r="BB64">
        <v>12</v>
      </c>
    </row>
    <row r="65" spans="1:54">
      <c r="B65" s="80" t="s">
        <v>2</v>
      </c>
      <c r="C65">
        <v>20</v>
      </c>
      <c r="D65">
        <v>23.5</v>
      </c>
      <c r="E65">
        <v>10.39</v>
      </c>
      <c r="F65">
        <v>2.323</v>
      </c>
      <c r="G65">
        <v>18.64</v>
      </c>
      <c r="H65">
        <v>28.36</v>
      </c>
      <c r="I65">
        <v>3</v>
      </c>
      <c r="J65">
        <v>36</v>
      </c>
      <c r="M65" s="80" t="s">
        <v>2</v>
      </c>
      <c r="N65">
        <v>20</v>
      </c>
      <c r="O65">
        <v>12.25</v>
      </c>
      <c r="P65">
        <v>6.5919999999999996</v>
      </c>
      <c r="Q65">
        <v>1.474</v>
      </c>
      <c r="R65">
        <v>9.16</v>
      </c>
      <c r="S65">
        <v>15.34</v>
      </c>
      <c r="T65">
        <v>3</v>
      </c>
      <c r="U65">
        <v>27</v>
      </c>
      <c r="X65">
        <v>2</v>
      </c>
      <c r="Y65">
        <v>20</v>
      </c>
      <c r="Z65">
        <v>14.85</v>
      </c>
      <c r="AA65">
        <v>4.5339999999999998</v>
      </c>
      <c r="AB65">
        <v>1.014</v>
      </c>
      <c r="AC65">
        <v>12.73</v>
      </c>
      <c r="AD65">
        <v>16.97</v>
      </c>
      <c r="AE65">
        <v>8</v>
      </c>
      <c r="AF65">
        <v>24</v>
      </c>
      <c r="AI65">
        <v>2</v>
      </c>
      <c r="AJ65">
        <v>20</v>
      </c>
      <c r="AK65">
        <v>7</v>
      </c>
      <c r="AL65">
        <v>2.5750000000000002</v>
      </c>
      <c r="AM65">
        <v>0.57599999999999996</v>
      </c>
      <c r="AN65">
        <v>5.79</v>
      </c>
      <c r="AO65">
        <v>8.2100000000000009</v>
      </c>
      <c r="AP65">
        <v>1</v>
      </c>
      <c r="AQ65">
        <v>12</v>
      </c>
      <c r="AT65">
        <v>2</v>
      </c>
      <c r="AU65">
        <v>20</v>
      </c>
      <c r="AV65">
        <v>11</v>
      </c>
      <c r="AW65">
        <v>1.6220000000000001</v>
      </c>
      <c r="AX65">
        <v>0.36299999999999999</v>
      </c>
      <c r="AY65">
        <v>10.24</v>
      </c>
      <c r="AZ65">
        <v>11.76</v>
      </c>
      <c r="BA65">
        <v>5</v>
      </c>
      <c r="BB65">
        <v>12</v>
      </c>
    </row>
    <row r="66" spans="1:54">
      <c r="B66" s="80" t="s">
        <v>3</v>
      </c>
      <c r="C66">
        <v>1</v>
      </c>
      <c r="D66">
        <v>28</v>
      </c>
      <c r="E66" t="s">
        <v>150</v>
      </c>
      <c r="F66" t="s">
        <v>150</v>
      </c>
      <c r="G66" t="s">
        <v>150</v>
      </c>
      <c r="H66" t="s">
        <v>150</v>
      </c>
      <c r="I66">
        <v>28</v>
      </c>
      <c r="J66">
        <v>28</v>
      </c>
      <c r="M66" s="80" t="s">
        <v>3</v>
      </c>
      <c r="N66">
        <v>1</v>
      </c>
      <c r="O66">
        <v>20</v>
      </c>
      <c r="P66" t="s">
        <v>150</v>
      </c>
      <c r="Q66" t="s">
        <v>150</v>
      </c>
      <c r="R66" t="s">
        <v>150</v>
      </c>
      <c r="S66" t="s">
        <v>150</v>
      </c>
      <c r="T66">
        <v>20</v>
      </c>
      <c r="U66">
        <v>20</v>
      </c>
      <c r="X66">
        <v>3</v>
      </c>
      <c r="Y66">
        <v>1</v>
      </c>
      <c r="Z66">
        <v>9</v>
      </c>
      <c r="AA66" t="s">
        <v>150</v>
      </c>
      <c r="AB66" t="s">
        <v>150</v>
      </c>
      <c r="AC66" t="s">
        <v>150</v>
      </c>
      <c r="AD66" t="s">
        <v>150</v>
      </c>
      <c r="AE66">
        <v>9</v>
      </c>
      <c r="AF66">
        <v>9</v>
      </c>
      <c r="AI66">
        <v>3</v>
      </c>
      <c r="AJ66">
        <v>1</v>
      </c>
      <c r="AK66">
        <v>9</v>
      </c>
      <c r="AL66" t="s">
        <v>150</v>
      </c>
      <c r="AM66" t="s">
        <v>150</v>
      </c>
      <c r="AN66" t="s">
        <v>150</v>
      </c>
      <c r="AO66" t="s">
        <v>150</v>
      </c>
      <c r="AP66">
        <v>9</v>
      </c>
      <c r="AQ66">
        <v>9</v>
      </c>
      <c r="AT66">
        <v>3</v>
      </c>
      <c r="AU66">
        <v>1</v>
      </c>
      <c r="AV66">
        <v>12</v>
      </c>
      <c r="AW66" t="s">
        <v>150</v>
      </c>
      <c r="AX66" t="s">
        <v>150</v>
      </c>
      <c r="AY66" t="s">
        <v>150</v>
      </c>
      <c r="AZ66" t="s">
        <v>150</v>
      </c>
      <c r="BA66">
        <v>12</v>
      </c>
      <c r="BB66">
        <v>12</v>
      </c>
    </row>
    <row r="67" spans="1:54">
      <c r="B67" s="80" t="s">
        <v>165</v>
      </c>
      <c r="C67">
        <v>1</v>
      </c>
      <c r="D67">
        <v>36</v>
      </c>
      <c r="E67" t="s">
        <v>150</v>
      </c>
      <c r="F67" t="s">
        <v>150</v>
      </c>
      <c r="G67" t="s">
        <v>150</v>
      </c>
      <c r="H67" t="s">
        <v>150</v>
      </c>
      <c r="I67">
        <v>36</v>
      </c>
      <c r="J67">
        <v>36</v>
      </c>
      <c r="M67" s="80" t="s">
        <v>165</v>
      </c>
      <c r="N67">
        <v>1</v>
      </c>
      <c r="O67">
        <v>26</v>
      </c>
      <c r="P67" t="s">
        <v>150</v>
      </c>
      <c r="Q67" t="s">
        <v>150</v>
      </c>
      <c r="R67" t="s">
        <v>150</v>
      </c>
      <c r="S67" t="s">
        <v>150</v>
      </c>
      <c r="T67">
        <v>26</v>
      </c>
      <c r="U67">
        <v>26</v>
      </c>
      <c r="X67">
        <v>4</v>
      </c>
      <c r="Y67">
        <v>1</v>
      </c>
      <c r="Z67">
        <v>11</v>
      </c>
      <c r="AA67" t="s">
        <v>150</v>
      </c>
      <c r="AB67" t="s">
        <v>150</v>
      </c>
      <c r="AC67" t="s">
        <v>150</v>
      </c>
      <c r="AD67" t="s">
        <v>150</v>
      </c>
      <c r="AE67">
        <v>11</v>
      </c>
      <c r="AF67">
        <v>11</v>
      </c>
      <c r="AI67">
        <v>4</v>
      </c>
      <c r="AJ67">
        <v>1</v>
      </c>
      <c r="AK67">
        <v>7</v>
      </c>
      <c r="AL67" t="s">
        <v>150</v>
      </c>
      <c r="AM67" t="s">
        <v>150</v>
      </c>
      <c r="AN67" t="s">
        <v>150</v>
      </c>
      <c r="AO67" t="s">
        <v>150</v>
      </c>
      <c r="AP67">
        <v>7</v>
      </c>
      <c r="AQ67">
        <v>7</v>
      </c>
      <c r="AT67">
        <v>4</v>
      </c>
      <c r="AU67">
        <v>1</v>
      </c>
      <c r="AV67">
        <v>11</v>
      </c>
      <c r="AW67" t="s">
        <v>150</v>
      </c>
      <c r="AX67" t="s">
        <v>150</v>
      </c>
      <c r="AY67" t="s">
        <v>150</v>
      </c>
      <c r="AZ67" t="s">
        <v>150</v>
      </c>
      <c r="BA67">
        <v>11</v>
      </c>
      <c r="BB67">
        <v>11</v>
      </c>
    </row>
    <row r="68" spans="1:54">
      <c r="B68" t="s">
        <v>32</v>
      </c>
      <c r="C68">
        <v>46</v>
      </c>
      <c r="D68">
        <v>24.8</v>
      </c>
      <c r="E68">
        <v>9.2219999999999995</v>
      </c>
      <c r="F68">
        <v>1.36</v>
      </c>
      <c r="G68">
        <v>22.07</v>
      </c>
      <c r="H68">
        <v>27.54</v>
      </c>
      <c r="I68">
        <v>3</v>
      </c>
      <c r="J68">
        <v>36</v>
      </c>
      <c r="M68" s="80" t="s">
        <v>32</v>
      </c>
      <c r="N68">
        <v>46</v>
      </c>
      <c r="O68">
        <v>15.07</v>
      </c>
      <c r="P68">
        <v>7.94</v>
      </c>
      <c r="Q68">
        <v>1.171</v>
      </c>
      <c r="R68">
        <v>12.71</v>
      </c>
      <c r="S68">
        <v>17.420000000000002</v>
      </c>
      <c r="T68">
        <v>3</v>
      </c>
      <c r="U68">
        <v>32</v>
      </c>
      <c r="X68" t="s">
        <v>32</v>
      </c>
      <c r="Y68">
        <v>46</v>
      </c>
      <c r="Z68">
        <v>14.54</v>
      </c>
      <c r="AA68">
        <v>4.6369999999999996</v>
      </c>
      <c r="AB68">
        <v>0.68400000000000005</v>
      </c>
      <c r="AC68">
        <v>13.17</v>
      </c>
      <c r="AD68">
        <v>15.92</v>
      </c>
      <c r="AE68">
        <v>7</v>
      </c>
      <c r="AF68">
        <v>24</v>
      </c>
      <c r="AI68" t="s">
        <v>32</v>
      </c>
      <c r="AJ68">
        <v>46</v>
      </c>
      <c r="AK68">
        <v>6.93</v>
      </c>
      <c r="AL68">
        <v>2.351</v>
      </c>
      <c r="AM68">
        <v>0.34699999999999998</v>
      </c>
      <c r="AN68">
        <v>6.24</v>
      </c>
      <c r="AO68">
        <v>7.63</v>
      </c>
      <c r="AP68">
        <v>1</v>
      </c>
      <c r="AQ68">
        <v>12</v>
      </c>
      <c r="AT68" t="s">
        <v>32</v>
      </c>
      <c r="AU68">
        <v>46</v>
      </c>
      <c r="AV68">
        <v>10.63</v>
      </c>
      <c r="AW68">
        <v>1.73</v>
      </c>
      <c r="AX68">
        <v>0.255</v>
      </c>
      <c r="AY68">
        <v>10.119999999999999</v>
      </c>
      <c r="AZ68">
        <v>11.14</v>
      </c>
      <c r="BA68">
        <v>5</v>
      </c>
      <c r="BB68">
        <v>12</v>
      </c>
    </row>
    <row r="69" spans="1:54">
      <c r="M69" s="80"/>
    </row>
    <row r="71" spans="1:54">
      <c r="A71" t="s">
        <v>153</v>
      </c>
      <c r="L71" t="s">
        <v>153</v>
      </c>
      <c r="W71" t="s">
        <v>153</v>
      </c>
      <c r="AH71" t="s">
        <v>153</v>
      </c>
      <c r="AS71" t="s">
        <v>153</v>
      </c>
    </row>
    <row r="72" spans="1:54">
      <c r="A72" t="s">
        <v>154</v>
      </c>
      <c r="L72" t="s">
        <v>184</v>
      </c>
      <c r="W72" t="s">
        <v>185</v>
      </c>
      <c r="AH72" t="s">
        <v>186</v>
      </c>
      <c r="AS72" t="s">
        <v>187</v>
      </c>
    </row>
    <row r="73" spans="1:54">
      <c r="A73" t="s">
        <v>1</v>
      </c>
      <c r="B73" s="90" t="s">
        <v>14</v>
      </c>
      <c r="C73" t="s">
        <v>155</v>
      </c>
      <c r="D73" t="s">
        <v>156</v>
      </c>
      <c r="E73" t="s">
        <v>157</v>
      </c>
      <c r="F73" t="s">
        <v>158</v>
      </c>
      <c r="G73" t="s">
        <v>159</v>
      </c>
      <c r="I73" t="s">
        <v>160</v>
      </c>
      <c r="J73" t="s">
        <v>161</v>
      </c>
      <c r="L73" t="s">
        <v>1</v>
      </c>
      <c r="M73" t="s">
        <v>14</v>
      </c>
      <c r="N73" t="s">
        <v>155</v>
      </c>
      <c r="O73" t="s">
        <v>156</v>
      </c>
      <c r="P73" t="s">
        <v>157</v>
      </c>
      <c r="Q73" t="s">
        <v>158</v>
      </c>
      <c r="R73" t="s">
        <v>159</v>
      </c>
      <c r="T73" t="s">
        <v>160</v>
      </c>
      <c r="U73" t="s">
        <v>161</v>
      </c>
      <c r="W73" t="s">
        <v>1</v>
      </c>
      <c r="X73" t="s">
        <v>14</v>
      </c>
      <c r="Y73" t="s">
        <v>155</v>
      </c>
      <c r="Z73" t="s">
        <v>156</v>
      </c>
      <c r="AA73" t="s">
        <v>157</v>
      </c>
      <c r="AB73" t="s">
        <v>158</v>
      </c>
      <c r="AC73" t="s">
        <v>159</v>
      </c>
      <c r="AE73" t="s">
        <v>160</v>
      </c>
      <c r="AF73" t="s">
        <v>161</v>
      </c>
      <c r="AH73" t="s">
        <v>1</v>
      </c>
      <c r="AI73" t="s">
        <v>14</v>
      </c>
      <c r="AJ73" t="s">
        <v>155</v>
      </c>
      <c r="AK73" t="s">
        <v>156</v>
      </c>
      <c r="AL73" t="s">
        <v>157</v>
      </c>
      <c r="AM73" t="s">
        <v>158</v>
      </c>
      <c r="AN73" t="s">
        <v>159</v>
      </c>
      <c r="AP73" t="s">
        <v>160</v>
      </c>
      <c r="AQ73" t="s">
        <v>161</v>
      </c>
      <c r="AS73" t="s">
        <v>1</v>
      </c>
      <c r="AU73" t="s">
        <v>155</v>
      </c>
      <c r="AV73" t="s">
        <v>156</v>
      </c>
      <c r="AW73" t="s">
        <v>157</v>
      </c>
      <c r="AX73" t="s">
        <v>158</v>
      </c>
      <c r="AY73" t="s">
        <v>159</v>
      </c>
      <c r="BA73" t="s">
        <v>160</v>
      </c>
      <c r="BB73" t="s">
        <v>161</v>
      </c>
    </row>
    <row r="74" spans="1:54">
      <c r="G74" t="s">
        <v>162</v>
      </c>
      <c r="H74" t="s">
        <v>163</v>
      </c>
      <c r="R74" t="s">
        <v>162</v>
      </c>
      <c r="S74" t="s">
        <v>163</v>
      </c>
      <c r="AC74" t="s">
        <v>162</v>
      </c>
      <c r="AD74" t="s">
        <v>163</v>
      </c>
      <c r="AN74" t="s">
        <v>162</v>
      </c>
      <c r="AO74" t="s">
        <v>163</v>
      </c>
      <c r="AY74" t="s">
        <v>162</v>
      </c>
      <c r="AZ74" t="s">
        <v>163</v>
      </c>
    </row>
    <row r="75" spans="1:54">
      <c r="A75" t="s">
        <v>9</v>
      </c>
      <c r="B75" t="s">
        <v>15</v>
      </c>
      <c r="C75">
        <v>8</v>
      </c>
      <c r="D75">
        <v>28.13</v>
      </c>
      <c r="E75">
        <v>4.3570000000000002</v>
      </c>
      <c r="F75">
        <v>1.54</v>
      </c>
      <c r="G75">
        <v>24.48</v>
      </c>
      <c r="H75">
        <v>31.77</v>
      </c>
      <c r="I75">
        <v>22</v>
      </c>
      <c r="J75">
        <v>35</v>
      </c>
      <c r="L75" t="s">
        <v>9</v>
      </c>
      <c r="M75">
        <v>1</v>
      </c>
      <c r="N75">
        <v>8</v>
      </c>
      <c r="O75">
        <v>20.5</v>
      </c>
      <c r="P75">
        <v>7.6159999999999997</v>
      </c>
      <c r="Q75">
        <v>2.6930000000000001</v>
      </c>
      <c r="R75">
        <v>14.13</v>
      </c>
      <c r="S75">
        <v>26.87</v>
      </c>
      <c r="T75">
        <v>12</v>
      </c>
      <c r="U75">
        <v>30</v>
      </c>
      <c r="W75" t="s">
        <v>9</v>
      </c>
      <c r="X75">
        <v>1</v>
      </c>
      <c r="Y75">
        <v>8</v>
      </c>
      <c r="Z75">
        <v>17</v>
      </c>
      <c r="AA75">
        <v>5.4509999999999996</v>
      </c>
      <c r="AB75">
        <v>1.927</v>
      </c>
      <c r="AC75">
        <v>12.44</v>
      </c>
      <c r="AD75">
        <v>21.56</v>
      </c>
      <c r="AE75">
        <v>8</v>
      </c>
      <c r="AF75">
        <v>26</v>
      </c>
      <c r="AH75" t="s">
        <v>9</v>
      </c>
      <c r="AI75">
        <v>1</v>
      </c>
      <c r="AJ75">
        <v>8</v>
      </c>
      <c r="AK75">
        <v>7.13</v>
      </c>
      <c r="AL75">
        <v>2.6960000000000002</v>
      </c>
      <c r="AM75">
        <v>0.95299999999999996</v>
      </c>
      <c r="AN75">
        <v>4.87</v>
      </c>
      <c r="AO75">
        <v>9.3800000000000008</v>
      </c>
      <c r="AP75">
        <v>3</v>
      </c>
      <c r="AQ75">
        <v>11</v>
      </c>
      <c r="AS75" t="s">
        <v>9</v>
      </c>
      <c r="AT75">
        <v>1</v>
      </c>
      <c r="AU75">
        <v>8</v>
      </c>
      <c r="AV75">
        <v>10.75</v>
      </c>
      <c r="AW75">
        <v>1.488</v>
      </c>
      <c r="AX75">
        <v>0.52600000000000002</v>
      </c>
      <c r="AY75">
        <v>9.51</v>
      </c>
      <c r="AZ75">
        <v>11.99</v>
      </c>
      <c r="BA75">
        <v>9</v>
      </c>
      <c r="BB75">
        <v>12</v>
      </c>
    </row>
    <row r="76" spans="1:54">
      <c r="B76" t="s">
        <v>182</v>
      </c>
      <c r="C76">
        <v>32</v>
      </c>
      <c r="D76">
        <v>28.69</v>
      </c>
      <c r="E76">
        <v>8.2949999999999999</v>
      </c>
      <c r="F76">
        <v>1.466</v>
      </c>
      <c r="G76">
        <v>25.7</v>
      </c>
      <c r="H76">
        <v>31.68</v>
      </c>
      <c r="I76">
        <v>5</v>
      </c>
      <c r="J76">
        <v>36</v>
      </c>
      <c r="M76">
        <v>2</v>
      </c>
      <c r="N76">
        <v>32</v>
      </c>
      <c r="O76">
        <v>19.66</v>
      </c>
      <c r="P76">
        <v>9.6039999999999992</v>
      </c>
      <c r="Q76">
        <v>1.698</v>
      </c>
      <c r="R76">
        <v>16.190000000000001</v>
      </c>
      <c r="S76">
        <v>23.12</v>
      </c>
      <c r="T76">
        <v>0</v>
      </c>
      <c r="U76">
        <v>34</v>
      </c>
      <c r="X76">
        <v>2</v>
      </c>
      <c r="Y76">
        <v>32</v>
      </c>
      <c r="Z76">
        <v>16.22</v>
      </c>
      <c r="AA76">
        <v>4.633</v>
      </c>
      <c r="AB76">
        <v>0.81899999999999995</v>
      </c>
      <c r="AC76">
        <v>14.55</v>
      </c>
      <c r="AD76">
        <v>17.89</v>
      </c>
      <c r="AE76">
        <v>8</v>
      </c>
      <c r="AF76">
        <v>26</v>
      </c>
      <c r="AI76">
        <v>2</v>
      </c>
      <c r="AJ76">
        <v>32</v>
      </c>
      <c r="AK76">
        <v>7.19</v>
      </c>
      <c r="AL76">
        <v>2.52</v>
      </c>
      <c r="AM76">
        <v>0.44500000000000001</v>
      </c>
      <c r="AN76">
        <v>6.28</v>
      </c>
      <c r="AO76">
        <v>8.1</v>
      </c>
      <c r="AP76">
        <v>1</v>
      </c>
      <c r="AQ76">
        <v>12</v>
      </c>
      <c r="AT76">
        <v>2</v>
      </c>
      <c r="AU76">
        <v>32</v>
      </c>
      <c r="AV76">
        <v>10.88</v>
      </c>
      <c r="AW76">
        <v>1.157</v>
      </c>
      <c r="AX76">
        <v>0.20499999999999999</v>
      </c>
      <c r="AY76">
        <v>10.46</v>
      </c>
      <c r="AZ76">
        <v>11.29</v>
      </c>
      <c r="BA76">
        <v>8</v>
      </c>
      <c r="BB76">
        <v>12</v>
      </c>
    </row>
    <row r="77" spans="1:54">
      <c r="B77" t="s">
        <v>183</v>
      </c>
      <c r="C77">
        <v>1</v>
      </c>
      <c r="D77">
        <v>22</v>
      </c>
      <c r="E77" t="s">
        <v>150</v>
      </c>
      <c r="F77" t="s">
        <v>150</v>
      </c>
      <c r="G77" t="s">
        <v>150</v>
      </c>
      <c r="H77" t="s">
        <v>150</v>
      </c>
      <c r="I77">
        <v>22</v>
      </c>
      <c r="J77">
        <v>22</v>
      </c>
      <c r="M77">
        <v>3</v>
      </c>
      <c r="N77">
        <v>1</v>
      </c>
      <c r="O77">
        <v>16</v>
      </c>
      <c r="P77" t="s">
        <v>150</v>
      </c>
      <c r="Q77" t="s">
        <v>150</v>
      </c>
      <c r="R77" t="s">
        <v>150</v>
      </c>
      <c r="S77" t="s">
        <v>150</v>
      </c>
      <c r="T77">
        <v>16</v>
      </c>
      <c r="U77">
        <v>16</v>
      </c>
      <c r="X77">
        <v>3</v>
      </c>
      <c r="Y77">
        <v>1</v>
      </c>
      <c r="Z77">
        <v>14</v>
      </c>
      <c r="AA77" t="s">
        <v>150</v>
      </c>
      <c r="AB77" t="s">
        <v>150</v>
      </c>
      <c r="AC77" t="s">
        <v>150</v>
      </c>
      <c r="AD77" t="s">
        <v>150</v>
      </c>
      <c r="AE77">
        <v>14</v>
      </c>
      <c r="AF77">
        <v>14</v>
      </c>
      <c r="AI77">
        <v>3</v>
      </c>
      <c r="AJ77">
        <v>1</v>
      </c>
      <c r="AK77">
        <v>6</v>
      </c>
      <c r="AL77" t="s">
        <v>150</v>
      </c>
      <c r="AM77" t="s">
        <v>150</v>
      </c>
      <c r="AN77" t="s">
        <v>150</v>
      </c>
      <c r="AO77" t="s">
        <v>150</v>
      </c>
      <c r="AP77">
        <v>6</v>
      </c>
      <c r="AQ77">
        <v>6</v>
      </c>
      <c r="AT77">
        <v>3</v>
      </c>
      <c r="AU77">
        <v>1</v>
      </c>
      <c r="AV77">
        <v>10</v>
      </c>
      <c r="AW77" t="s">
        <v>150</v>
      </c>
      <c r="AX77" t="s">
        <v>150</v>
      </c>
      <c r="AY77" t="s">
        <v>150</v>
      </c>
      <c r="AZ77" t="s">
        <v>150</v>
      </c>
      <c r="BA77">
        <v>10</v>
      </c>
      <c r="BB77">
        <v>10</v>
      </c>
    </row>
    <row r="78" spans="1:54">
      <c r="B78" t="s">
        <v>18</v>
      </c>
      <c r="C78">
        <v>1</v>
      </c>
      <c r="D78">
        <v>18</v>
      </c>
      <c r="E78" t="s">
        <v>150</v>
      </c>
      <c r="F78" t="s">
        <v>150</v>
      </c>
      <c r="G78" t="s">
        <v>150</v>
      </c>
      <c r="H78" t="s">
        <v>150</v>
      </c>
      <c r="I78">
        <v>18</v>
      </c>
      <c r="J78">
        <v>18</v>
      </c>
      <c r="M78">
        <v>4</v>
      </c>
      <c r="N78">
        <v>1</v>
      </c>
      <c r="O78">
        <v>12</v>
      </c>
      <c r="P78" t="s">
        <v>150</v>
      </c>
      <c r="Q78" t="s">
        <v>150</v>
      </c>
      <c r="R78" t="s">
        <v>150</v>
      </c>
      <c r="S78" t="s">
        <v>150</v>
      </c>
      <c r="T78">
        <v>12</v>
      </c>
      <c r="U78">
        <v>12</v>
      </c>
      <c r="X78">
        <v>4</v>
      </c>
      <c r="Y78">
        <v>1</v>
      </c>
      <c r="Z78">
        <v>10</v>
      </c>
      <c r="AA78" t="s">
        <v>150</v>
      </c>
      <c r="AB78" t="s">
        <v>150</v>
      </c>
      <c r="AC78" t="s">
        <v>150</v>
      </c>
      <c r="AD78" t="s">
        <v>150</v>
      </c>
      <c r="AE78">
        <v>10</v>
      </c>
      <c r="AF78">
        <v>10</v>
      </c>
      <c r="AI78">
        <v>4</v>
      </c>
      <c r="AJ78">
        <v>1</v>
      </c>
      <c r="AK78">
        <v>7</v>
      </c>
      <c r="AL78" t="s">
        <v>150</v>
      </c>
      <c r="AM78" t="s">
        <v>150</v>
      </c>
      <c r="AN78" t="s">
        <v>150</v>
      </c>
      <c r="AO78" t="s">
        <v>150</v>
      </c>
      <c r="AP78">
        <v>7</v>
      </c>
      <c r="AQ78">
        <v>7</v>
      </c>
      <c r="AT78">
        <v>4</v>
      </c>
      <c r="AU78">
        <v>1</v>
      </c>
      <c r="AV78">
        <v>12</v>
      </c>
      <c r="AW78" t="s">
        <v>150</v>
      </c>
      <c r="AX78" t="s">
        <v>150</v>
      </c>
      <c r="AY78" t="s">
        <v>150</v>
      </c>
      <c r="AZ78" t="s">
        <v>150</v>
      </c>
      <c r="BA78">
        <v>12</v>
      </c>
      <c r="BB78">
        <v>12</v>
      </c>
    </row>
    <row r="79" spans="1:54">
      <c r="B79" t="s">
        <v>32</v>
      </c>
      <c r="C79">
        <v>42</v>
      </c>
      <c r="D79">
        <v>28.17</v>
      </c>
      <c r="E79">
        <v>7.6760000000000002</v>
      </c>
      <c r="F79">
        <v>1.1839999999999999</v>
      </c>
      <c r="G79">
        <v>25.77</v>
      </c>
      <c r="H79">
        <v>30.56</v>
      </c>
      <c r="I79">
        <v>5</v>
      </c>
      <c r="J79">
        <v>36</v>
      </c>
      <c r="M79" t="s">
        <v>32</v>
      </c>
      <c r="N79">
        <v>42</v>
      </c>
      <c r="O79">
        <v>19.55</v>
      </c>
      <c r="P79">
        <v>9.0289999999999999</v>
      </c>
      <c r="Q79">
        <v>1.393</v>
      </c>
      <c r="R79">
        <v>16.73</v>
      </c>
      <c r="S79">
        <v>22.36</v>
      </c>
      <c r="T79">
        <v>0</v>
      </c>
      <c r="U79">
        <v>34</v>
      </c>
      <c r="X79" t="s">
        <v>32</v>
      </c>
      <c r="Y79">
        <v>42</v>
      </c>
      <c r="Z79">
        <v>16.170000000000002</v>
      </c>
      <c r="AA79">
        <v>4.742</v>
      </c>
      <c r="AB79">
        <v>0.73199999999999998</v>
      </c>
      <c r="AC79">
        <v>14.69</v>
      </c>
      <c r="AD79">
        <v>17.64</v>
      </c>
      <c r="AE79">
        <v>8</v>
      </c>
      <c r="AF79">
        <v>26</v>
      </c>
      <c r="AI79" t="s">
        <v>32</v>
      </c>
      <c r="AJ79">
        <v>42</v>
      </c>
      <c r="AK79">
        <v>7.14</v>
      </c>
      <c r="AL79">
        <v>2.4649999999999999</v>
      </c>
      <c r="AM79">
        <v>0.38</v>
      </c>
      <c r="AN79">
        <v>6.37</v>
      </c>
      <c r="AO79">
        <v>7.91</v>
      </c>
      <c r="AP79">
        <v>1</v>
      </c>
      <c r="AQ79">
        <v>12</v>
      </c>
      <c r="AT79" t="s">
        <v>32</v>
      </c>
      <c r="AU79">
        <v>42</v>
      </c>
      <c r="AV79">
        <v>10.86</v>
      </c>
      <c r="AW79">
        <v>1.2010000000000001</v>
      </c>
      <c r="AX79">
        <v>0.185</v>
      </c>
      <c r="AY79">
        <v>10.48</v>
      </c>
      <c r="AZ79">
        <v>11.23</v>
      </c>
      <c r="BA79">
        <v>8</v>
      </c>
      <c r="BB79">
        <v>12</v>
      </c>
    </row>
    <row r="80" spans="1:54">
      <c r="A80" t="s">
        <v>10</v>
      </c>
      <c r="B80" s="80" t="s">
        <v>15</v>
      </c>
      <c r="C80">
        <v>12</v>
      </c>
      <c r="D80">
        <v>24.58</v>
      </c>
      <c r="E80">
        <v>9.9770000000000003</v>
      </c>
      <c r="F80">
        <v>2.88</v>
      </c>
      <c r="G80">
        <v>18.239999999999998</v>
      </c>
      <c r="H80">
        <v>30.92</v>
      </c>
      <c r="I80">
        <v>12</v>
      </c>
      <c r="J80">
        <v>36</v>
      </c>
      <c r="L80" t="s">
        <v>10</v>
      </c>
      <c r="M80">
        <v>1</v>
      </c>
      <c r="N80">
        <v>12</v>
      </c>
      <c r="O80">
        <v>16.420000000000002</v>
      </c>
      <c r="P80">
        <v>8.8879999999999999</v>
      </c>
      <c r="Q80">
        <v>2.5659999999999998</v>
      </c>
      <c r="R80">
        <v>10.77</v>
      </c>
      <c r="S80">
        <v>22.06</v>
      </c>
      <c r="T80">
        <v>7</v>
      </c>
      <c r="U80">
        <v>32</v>
      </c>
      <c r="W80" t="s">
        <v>10</v>
      </c>
      <c r="X80">
        <v>1</v>
      </c>
      <c r="Y80">
        <v>12</v>
      </c>
      <c r="Z80">
        <v>13</v>
      </c>
      <c r="AA80">
        <v>3.3570000000000002</v>
      </c>
      <c r="AB80">
        <v>0.96899999999999997</v>
      </c>
      <c r="AC80">
        <v>10.87</v>
      </c>
      <c r="AD80">
        <v>15.13</v>
      </c>
      <c r="AE80">
        <v>10</v>
      </c>
      <c r="AF80">
        <v>21</v>
      </c>
      <c r="AH80" t="s">
        <v>10</v>
      </c>
      <c r="AI80">
        <v>1</v>
      </c>
      <c r="AJ80">
        <v>12</v>
      </c>
      <c r="AK80">
        <v>6.17</v>
      </c>
      <c r="AL80">
        <v>1.7490000000000001</v>
      </c>
      <c r="AM80">
        <v>0.505</v>
      </c>
      <c r="AN80">
        <v>5.0599999999999996</v>
      </c>
      <c r="AO80">
        <v>7.28</v>
      </c>
      <c r="AP80">
        <v>4</v>
      </c>
      <c r="AQ80">
        <v>9</v>
      </c>
      <c r="AS80" t="s">
        <v>10</v>
      </c>
      <c r="AT80">
        <v>1</v>
      </c>
      <c r="AU80">
        <v>12</v>
      </c>
      <c r="AV80">
        <v>10.25</v>
      </c>
      <c r="AW80">
        <v>2.2610000000000001</v>
      </c>
      <c r="AX80">
        <v>0.65300000000000002</v>
      </c>
      <c r="AY80">
        <v>8.81</v>
      </c>
      <c r="AZ80">
        <v>11.69</v>
      </c>
      <c r="BA80">
        <v>5</v>
      </c>
      <c r="BB80">
        <v>12</v>
      </c>
    </row>
    <row r="81" spans="1:54">
      <c r="B81" s="80" t="s">
        <v>182</v>
      </c>
      <c r="C81">
        <v>32</v>
      </c>
      <c r="D81">
        <v>24.91</v>
      </c>
      <c r="E81">
        <v>9.3170000000000002</v>
      </c>
      <c r="F81">
        <v>1.647</v>
      </c>
      <c r="G81">
        <v>21.55</v>
      </c>
      <c r="H81">
        <v>28.27</v>
      </c>
      <c r="I81">
        <v>3</v>
      </c>
      <c r="J81">
        <v>36</v>
      </c>
      <c r="M81">
        <v>2</v>
      </c>
      <c r="N81">
        <v>32</v>
      </c>
      <c r="O81">
        <v>14.78</v>
      </c>
      <c r="P81">
        <v>7.8150000000000004</v>
      </c>
      <c r="Q81">
        <v>1.3819999999999999</v>
      </c>
      <c r="R81">
        <v>11.96</v>
      </c>
      <c r="S81">
        <v>17.600000000000001</v>
      </c>
      <c r="T81">
        <v>3</v>
      </c>
      <c r="U81">
        <v>32</v>
      </c>
      <c r="X81">
        <v>2</v>
      </c>
      <c r="Y81">
        <v>32</v>
      </c>
      <c r="Z81">
        <v>15.28</v>
      </c>
      <c r="AA81">
        <v>5.03</v>
      </c>
      <c r="AB81">
        <v>0.88900000000000001</v>
      </c>
      <c r="AC81">
        <v>13.47</v>
      </c>
      <c r="AD81">
        <v>17.09</v>
      </c>
      <c r="AE81">
        <v>7</v>
      </c>
      <c r="AF81">
        <v>24</v>
      </c>
      <c r="AI81">
        <v>2</v>
      </c>
      <c r="AJ81">
        <v>32</v>
      </c>
      <c r="AK81">
        <v>7.19</v>
      </c>
      <c r="AL81">
        <v>2.5459999999999998</v>
      </c>
      <c r="AM81">
        <v>0.45</v>
      </c>
      <c r="AN81">
        <v>6.27</v>
      </c>
      <c r="AO81">
        <v>8.11</v>
      </c>
      <c r="AP81">
        <v>1</v>
      </c>
      <c r="AQ81">
        <v>12</v>
      </c>
      <c r="AT81">
        <v>2</v>
      </c>
      <c r="AU81">
        <v>32</v>
      </c>
      <c r="AV81">
        <v>10.75</v>
      </c>
      <c r="AW81">
        <v>1.5449999999999999</v>
      </c>
      <c r="AX81">
        <v>0.27300000000000002</v>
      </c>
      <c r="AY81">
        <v>10.19</v>
      </c>
      <c r="AZ81">
        <v>11.31</v>
      </c>
      <c r="BA81">
        <v>6</v>
      </c>
      <c r="BB81">
        <v>12</v>
      </c>
    </row>
    <row r="82" spans="1:54">
      <c r="B82" s="80" t="s">
        <v>183</v>
      </c>
      <c r="C82">
        <v>1</v>
      </c>
      <c r="D82">
        <v>29</v>
      </c>
      <c r="E82" t="s">
        <v>150</v>
      </c>
      <c r="F82" t="s">
        <v>150</v>
      </c>
      <c r="G82" t="s">
        <v>150</v>
      </c>
      <c r="H82" t="s">
        <v>150</v>
      </c>
      <c r="I82">
        <v>29</v>
      </c>
      <c r="J82">
        <v>29</v>
      </c>
      <c r="M82">
        <v>3</v>
      </c>
      <c r="N82">
        <v>1</v>
      </c>
      <c r="O82">
        <v>15</v>
      </c>
      <c r="P82" t="s">
        <v>150</v>
      </c>
      <c r="Q82" t="s">
        <v>150</v>
      </c>
      <c r="R82" t="s">
        <v>150</v>
      </c>
      <c r="S82" t="s">
        <v>150</v>
      </c>
      <c r="T82">
        <v>15</v>
      </c>
      <c r="U82">
        <v>15</v>
      </c>
      <c r="X82">
        <v>3</v>
      </c>
      <c r="Y82">
        <v>1</v>
      </c>
      <c r="Z82">
        <v>12</v>
      </c>
      <c r="AA82" t="s">
        <v>150</v>
      </c>
      <c r="AB82" t="s">
        <v>150</v>
      </c>
      <c r="AC82" t="s">
        <v>150</v>
      </c>
      <c r="AD82" t="s">
        <v>150</v>
      </c>
      <c r="AE82">
        <v>12</v>
      </c>
      <c r="AF82">
        <v>12</v>
      </c>
      <c r="AI82">
        <v>3</v>
      </c>
      <c r="AJ82">
        <v>1</v>
      </c>
      <c r="AK82">
        <v>9</v>
      </c>
      <c r="AL82" t="s">
        <v>150</v>
      </c>
      <c r="AM82" t="s">
        <v>150</v>
      </c>
      <c r="AN82" t="s">
        <v>150</v>
      </c>
      <c r="AO82" t="s">
        <v>150</v>
      </c>
      <c r="AP82">
        <v>9</v>
      </c>
      <c r="AQ82">
        <v>9</v>
      </c>
      <c r="AT82">
        <v>3</v>
      </c>
      <c r="AU82">
        <v>1</v>
      </c>
      <c r="AV82">
        <v>12</v>
      </c>
      <c r="AW82" t="s">
        <v>150</v>
      </c>
      <c r="AX82" t="s">
        <v>150</v>
      </c>
      <c r="AY82" t="s">
        <v>150</v>
      </c>
      <c r="AZ82" t="s">
        <v>150</v>
      </c>
      <c r="BA82">
        <v>12</v>
      </c>
      <c r="BB82">
        <v>12</v>
      </c>
    </row>
    <row r="83" spans="1:54">
      <c r="B83" s="80" t="s">
        <v>18</v>
      </c>
      <c r="C83">
        <v>1</v>
      </c>
      <c r="D83">
        <v>20</v>
      </c>
      <c r="E83" t="s">
        <v>150</v>
      </c>
      <c r="F83" t="s">
        <v>150</v>
      </c>
      <c r="G83" t="s">
        <v>150</v>
      </c>
      <c r="H83" t="s">
        <v>150</v>
      </c>
      <c r="I83">
        <v>20</v>
      </c>
      <c r="J83">
        <v>20</v>
      </c>
      <c r="M83">
        <v>4</v>
      </c>
      <c r="N83">
        <v>1</v>
      </c>
      <c r="O83">
        <v>8</v>
      </c>
      <c r="P83" t="s">
        <v>150</v>
      </c>
      <c r="Q83" t="s">
        <v>150</v>
      </c>
      <c r="R83" t="s">
        <v>150</v>
      </c>
      <c r="S83" t="s">
        <v>150</v>
      </c>
      <c r="T83">
        <v>8</v>
      </c>
      <c r="U83">
        <v>8</v>
      </c>
      <c r="X83">
        <v>4</v>
      </c>
      <c r="Y83">
        <v>1</v>
      </c>
      <c r="Z83">
        <v>12</v>
      </c>
      <c r="AA83" t="s">
        <v>150</v>
      </c>
      <c r="AB83" t="s">
        <v>150</v>
      </c>
      <c r="AC83" t="s">
        <v>150</v>
      </c>
      <c r="AD83" t="s">
        <v>150</v>
      </c>
      <c r="AE83">
        <v>12</v>
      </c>
      <c r="AF83">
        <v>12</v>
      </c>
      <c r="AI83">
        <v>4</v>
      </c>
      <c r="AJ83">
        <v>1</v>
      </c>
      <c r="AK83">
        <v>6</v>
      </c>
      <c r="AL83" t="s">
        <v>150</v>
      </c>
      <c r="AM83" t="s">
        <v>150</v>
      </c>
      <c r="AN83" t="s">
        <v>150</v>
      </c>
      <c r="AO83" t="s">
        <v>150</v>
      </c>
      <c r="AP83">
        <v>6</v>
      </c>
      <c r="AQ83">
        <v>6</v>
      </c>
      <c r="AT83">
        <v>4</v>
      </c>
      <c r="AU83">
        <v>1</v>
      </c>
      <c r="AV83">
        <v>10</v>
      </c>
      <c r="AW83" t="s">
        <v>150</v>
      </c>
      <c r="AX83" t="s">
        <v>150</v>
      </c>
      <c r="AY83" t="s">
        <v>150</v>
      </c>
      <c r="AZ83" t="s">
        <v>150</v>
      </c>
      <c r="BA83">
        <v>10</v>
      </c>
      <c r="BB83">
        <v>10</v>
      </c>
    </row>
    <row r="84" spans="1:54">
      <c r="B84" t="s">
        <v>32</v>
      </c>
      <c r="C84">
        <v>46</v>
      </c>
      <c r="D84">
        <v>24.8</v>
      </c>
      <c r="E84">
        <v>9.2219999999999995</v>
      </c>
      <c r="F84">
        <v>1.36</v>
      </c>
      <c r="G84">
        <v>22.07</v>
      </c>
      <c r="H84">
        <v>27.54</v>
      </c>
      <c r="I84">
        <v>3</v>
      </c>
      <c r="J84">
        <v>36</v>
      </c>
      <c r="M84" t="s">
        <v>32</v>
      </c>
      <c r="N84">
        <v>46</v>
      </c>
      <c r="O84">
        <v>15.07</v>
      </c>
      <c r="P84">
        <v>7.94</v>
      </c>
      <c r="Q84">
        <v>1.171</v>
      </c>
      <c r="R84">
        <v>12.71</v>
      </c>
      <c r="S84">
        <v>17.420000000000002</v>
      </c>
      <c r="T84">
        <v>3</v>
      </c>
      <c r="U84">
        <v>32</v>
      </c>
      <c r="X84" t="s">
        <v>32</v>
      </c>
      <c r="Y84">
        <v>46</v>
      </c>
      <c r="Z84">
        <v>14.54</v>
      </c>
      <c r="AA84">
        <v>4.6369999999999996</v>
      </c>
      <c r="AB84">
        <v>0.68400000000000005</v>
      </c>
      <c r="AC84">
        <v>13.17</v>
      </c>
      <c r="AD84">
        <v>15.92</v>
      </c>
      <c r="AE84">
        <v>7</v>
      </c>
      <c r="AF84">
        <v>24</v>
      </c>
      <c r="AI84" t="s">
        <v>32</v>
      </c>
      <c r="AJ84">
        <v>46</v>
      </c>
      <c r="AK84">
        <v>6.93</v>
      </c>
      <c r="AL84">
        <v>2.351</v>
      </c>
      <c r="AM84">
        <v>0.34699999999999998</v>
      </c>
      <c r="AN84">
        <v>6.24</v>
      </c>
      <c r="AO84">
        <v>7.63</v>
      </c>
      <c r="AP84">
        <v>1</v>
      </c>
      <c r="AQ84">
        <v>12</v>
      </c>
      <c r="AT84" t="s">
        <v>32</v>
      </c>
      <c r="AU84">
        <v>46</v>
      </c>
      <c r="AV84">
        <v>10.63</v>
      </c>
      <c r="AW84">
        <v>1.73</v>
      </c>
      <c r="AX84">
        <v>0.255</v>
      </c>
      <c r="AY84">
        <v>10.119999999999999</v>
      </c>
      <c r="AZ84">
        <v>11.14</v>
      </c>
      <c r="BA84">
        <v>5</v>
      </c>
      <c r="BB84">
        <v>12</v>
      </c>
    </row>
    <row r="87" spans="1:54">
      <c r="A87" t="s">
        <v>153</v>
      </c>
      <c r="L87" t="s">
        <v>153</v>
      </c>
      <c r="W87" s="80" t="s">
        <v>153</v>
      </c>
      <c r="AH87" t="s">
        <v>153</v>
      </c>
      <c r="AS87" t="s">
        <v>153</v>
      </c>
    </row>
    <row r="88" spans="1:54">
      <c r="A88" t="s">
        <v>154</v>
      </c>
      <c r="L88" t="s">
        <v>184</v>
      </c>
      <c r="W88" t="s">
        <v>185</v>
      </c>
      <c r="AH88" t="s">
        <v>186</v>
      </c>
      <c r="AS88" t="s">
        <v>187</v>
      </c>
    </row>
    <row r="89" spans="1:54">
      <c r="A89" t="s">
        <v>1</v>
      </c>
      <c r="B89" s="90" t="s">
        <v>85</v>
      </c>
      <c r="C89" t="s">
        <v>155</v>
      </c>
      <c r="D89" t="s">
        <v>156</v>
      </c>
      <c r="E89" t="s">
        <v>157</v>
      </c>
      <c r="F89" t="s">
        <v>158</v>
      </c>
      <c r="G89" t="s">
        <v>159</v>
      </c>
      <c r="I89" t="s">
        <v>160</v>
      </c>
      <c r="J89" t="s">
        <v>161</v>
      </c>
      <c r="L89" t="s">
        <v>1</v>
      </c>
      <c r="M89" t="s">
        <v>85</v>
      </c>
      <c r="N89" t="s">
        <v>155</v>
      </c>
      <c r="O89" t="s">
        <v>156</v>
      </c>
      <c r="P89" t="s">
        <v>157</v>
      </c>
      <c r="Q89" t="s">
        <v>158</v>
      </c>
      <c r="R89" t="s">
        <v>159</v>
      </c>
      <c r="T89" t="s">
        <v>160</v>
      </c>
      <c r="U89" t="s">
        <v>161</v>
      </c>
      <c r="W89" t="s">
        <v>1</v>
      </c>
      <c r="X89" t="s">
        <v>85</v>
      </c>
      <c r="Y89" t="s">
        <v>155</v>
      </c>
      <c r="Z89" t="s">
        <v>156</v>
      </c>
      <c r="AA89" t="s">
        <v>157</v>
      </c>
      <c r="AB89" t="s">
        <v>158</v>
      </c>
      <c r="AC89" t="s">
        <v>159</v>
      </c>
      <c r="AE89" t="s">
        <v>160</v>
      </c>
      <c r="AF89" t="s">
        <v>161</v>
      </c>
      <c r="AH89" t="s">
        <v>1</v>
      </c>
      <c r="AJ89" t="s">
        <v>155</v>
      </c>
      <c r="AK89" t="s">
        <v>156</v>
      </c>
      <c r="AL89" t="s">
        <v>157</v>
      </c>
      <c r="AM89" t="s">
        <v>158</v>
      </c>
      <c r="AN89" t="s">
        <v>159</v>
      </c>
      <c r="AP89" t="s">
        <v>160</v>
      </c>
      <c r="AQ89" t="s">
        <v>161</v>
      </c>
      <c r="AS89" t="s">
        <v>1</v>
      </c>
      <c r="AU89" t="s">
        <v>155</v>
      </c>
      <c r="AV89" t="s">
        <v>156</v>
      </c>
      <c r="AW89" t="s">
        <v>157</v>
      </c>
      <c r="AX89" t="s">
        <v>158</v>
      </c>
      <c r="AY89" t="s">
        <v>159</v>
      </c>
      <c r="BA89" t="s">
        <v>160</v>
      </c>
      <c r="BB89" t="s">
        <v>161</v>
      </c>
    </row>
    <row r="90" spans="1:54">
      <c r="G90" t="s">
        <v>162</v>
      </c>
      <c r="H90" t="s">
        <v>163</v>
      </c>
      <c r="R90" t="s">
        <v>162</v>
      </c>
      <c r="S90" t="s">
        <v>163</v>
      </c>
      <c r="AC90" t="s">
        <v>162</v>
      </c>
      <c r="AD90" t="s">
        <v>163</v>
      </c>
      <c r="AN90" t="s">
        <v>162</v>
      </c>
      <c r="AO90" t="s">
        <v>163</v>
      </c>
      <c r="AY90" t="s">
        <v>162</v>
      </c>
      <c r="AZ90" t="s">
        <v>163</v>
      </c>
    </row>
    <row r="91" spans="1:54">
      <c r="A91" t="s">
        <v>9</v>
      </c>
      <c r="B91">
        <v>1</v>
      </c>
      <c r="C91">
        <v>31</v>
      </c>
      <c r="D91">
        <v>28.06</v>
      </c>
      <c r="E91">
        <v>7.84</v>
      </c>
      <c r="F91">
        <v>1.4079999999999999</v>
      </c>
      <c r="G91">
        <v>25.19</v>
      </c>
      <c r="H91">
        <v>30.94</v>
      </c>
      <c r="I91">
        <v>5</v>
      </c>
      <c r="J91">
        <v>36</v>
      </c>
      <c r="L91" t="s">
        <v>9</v>
      </c>
      <c r="M91">
        <v>1</v>
      </c>
      <c r="N91">
        <v>31</v>
      </c>
      <c r="O91">
        <v>19.16</v>
      </c>
      <c r="P91">
        <v>9.0299999999999994</v>
      </c>
      <c r="Q91">
        <v>1.6220000000000001</v>
      </c>
      <c r="R91">
        <v>15.85</v>
      </c>
      <c r="S91">
        <v>22.47</v>
      </c>
      <c r="T91">
        <v>0</v>
      </c>
      <c r="U91">
        <v>34</v>
      </c>
      <c r="W91" t="s">
        <v>9</v>
      </c>
      <c r="X91">
        <v>1</v>
      </c>
      <c r="Y91">
        <v>31</v>
      </c>
      <c r="Z91">
        <v>15.61</v>
      </c>
      <c r="AA91">
        <v>4.5359999999999996</v>
      </c>
      <c r="AB91">
        <v>0.81499999999999995</v>
      </c>
      <c r="AC91">
        <v>13.95</v>
      </c>
      <c r="AD91">
        <v>17.28</v>
      </c>
      <c r="AE91">
        <v>8</v>
      </c>
      <c r="AF91">
        <v>26</v>
      </c>
      <c r="AH91" t="s">
        <v>9</v>
      </c>
      <c r="AI91">
        <v>1</v>
      </c>
      <c r="AJ91">
        <v>31</v>
      </c>
      <c r="AK91">
        <v>7</v>
      </c>
      <c r="AL91">
        <v>2.2509999999999999</v>
      </c>
      <c r="AM91">
        <v>0.40400000000000003</v>
      </c>
      <c r="AN91">
        <v>6.17</v>
      </c>
      <c r="AO91">
        <v>7.83</v>
      </c>
      <c r="AP91">
        <v>1</v>
      </c>
      <c r="AQ91">
        <v>12</v>
      </c>
      <c r="AS91" t="s">
        <v>9</v>
      </c>
      <c r="AT91">
        <v>1</v>
      </c>
      <c r="AU91">
        <v>31</v>
      </c>
      <c r="AV91">
        <v>10.77</v>
      </c>
      <c r="AW91">
        <v>1.23</v>
      </c>
      <c r="AX91">
        <v>0.221</v>
      </c>
      <c r="AY91">
        <v>10.32</v>
      </c>
      <c r="AZ91">
        <v>11.23</v>
      </c>
      <c r="BA91">
        <v>8</v>
      </c>
      <c r="BB91">
        <v>12</v>
      </c>
    </row>
    <row r="92" spans="1:54">
      <c r="B92">
        <v>2</v>
      </c>
      <c r="C92">
        <v>9</v>
      </c>
      <c r="D92">
        <v>28.67</v>
      </c>
      <c r="E92">
        <v>7.9690000000000003</v>
      </c>
      <c r="F92">
        <v>2.6560000000000001</v>
      </c>
      <c r="G92">
        <v>22.54</v>
      </c>
      <c r="H92">
        <v>34.79</v>
      </c>
      <c r="I92">
        <v>12</v>
      </c>
      <c r="J92">
        <v>36</v>
      </c>
      <c r="M92">
        <v>2</v>
      </c>
      <c r="N92">
        <v>9</v>
      </c>
      <c r="O92">
        <v>22.56</v>
      </c>
      <c r="P92">
        <v>9.3290000000000006</v>
      </c>
      <c r="Q92">
        <v>3.11</v>
      </c>
      <c r="R92">
        <v>15.38</v>
      </c>
      <c r="S92">
        <v>29.73</v>
      </c>
      <c r="T92">
        <v>6</v>
      </c>
      <c r="U92">
        <v>32</v>
      </c>
      <c r="X92">
        <v>2</v>
      </c>
      <c r="Y92">
        <v>9</v>
      </c>
      <c r="Z92">
        <v>18.559999999999999</v>
      </c>
      <c r="AA92">
        <v>5.1989999999999998</v>
      </c>
      <c r="AB92">
        <v>1.7330000000000001</v>
      </c>
      <c r="AC92">
        <v>14.56</v>
      </c>
      <c r="AD92">
        <v>22.55</v>
      </c>
      <c r="AE92">
        <v>10</v>
      </c>
      <c r="AF92">
        <v>26</v>
      </c>
      <c r="AI92">
        <v>2</v>
      </c>
      <c r="AJ92">
        <v>9</v>
      </c>
      <c r="AK92">
        <v>8.11</v>
      </c>
      <c r="AL92">
        <v>3.14</v>
      </c>
      <c r="AM92">
        <v>1.0469999999999999</v>
      </c>
      <c r="AN92">
        <v>5.7</v>
      </c>
      <c r="AO92">
        <v>10.52</v>
      </c>
      <c r="AP92">
        <v>2</v>
      </c>
      <c r="AQ92">
        <v>11</v>
      </c>
      <c r="AT92">
        <v>2</v>
      </c>
      <c r="AU92">
        <v>9</v>
      </c>
      <c r="AV92">
        <v>11.56</v>
      </c>
      <c r="AW92">
        <v>0.52700000000000002</v>
      </c>
      <c r="AX92">
        <v>0.17599999999999999</v>
      </c>
      <c r="AY92">
        <v>11.15</v>
      </c>
      <c r="AZ92">
        <v>11.96</v>
      </c>
      <c r="BA92">
        <v>11</v>
      </c>
      <c r="BB92">
        <v>12</v>
      </c>
    </row>
    <row r="93" spans="1:54">
      <c r="B93">
        <v>3</v>
      </c>
      <c r="C93">
        <v>2</v>
      </c>
      <c r="D93">
        <v>27.5</v>
      </c>
      <c r="E93">
        <v>7.7779999999999996</v>
      </c>
      <c r="F93">
        <v>5.5</v>
      </c>
      <c r="G93">
        <v>-42.38</v>
      </c>
      <c r="H93">
        <v>97.38</v>
      </c>
      <c r="I93">
        <v>22</v>
      </c>
      <c r="J93">
        <v>33</v>
      </c>
      <c r="M93">
        <v>3</v>
      </c>
      <c r="N93">
        <v>2</v>
      </c>
      <c r="O93">
        <v>12</v>
      </c>
      <c r="P93">
        <v>0</v>
      </c>
      <c r="Q93">
        <v>0</v>
      </c>
      <c r="R93">
        <v>12</v>
      </c>
      <c r="S93">
        <v>12</v>
      </c>
      <c r="T93">
        <v>12</v>
      </c>
      <c r="U93">
        <v>12</v>
      </c>
      <c r="X93">
        <v>3</v>
      </c>
      <c r="Y93">
        <v>2</v>
      </c>
      <c r="Z93">
        <v>14</v>
      </c>
      <c r="AA93">
        <v>4.2430000000000003</v>
      </c>
      <c r="AB93">
        <v>3</v>
      </c>
      <c r="AC93">
        <v>-24.12</v>
      </c>
      <c r="AD93">
        <v>52.12</v>
      </c>
      <c r="AE93">
        <v>11</v>
      </c>
      <c r="AF93">
        <v>17</v>
      </c>
      <c r="AI93">
        <v>3</v>
      </c>
      <c r="AJ93">
        <v>2</v>
      </c>
      <c r="AK93">
        <v>5</v>
      </c>
      <c r="AL93">
        <v>0</v>
      </c>
      <c r="AM93">
        <v>0</v>
      </c>
      <c r="AN93">
        <v>5</v>
      </c>
      <c r="AO93">
        <v>5</v>
      </c>
      <c r="AP93">
        <v>5</v>
      </c>
      <c r="AQ93">
        <v>5</v>
      </c>
      <c r="AT93">
        <v>3</v>
      </c>
      <c r="AU93">
        <v>2</v>
      </c>
      <c r="AV93">
        <v>9</v>
      </c>
      <c r="AW93">
        <v>0</v>
      </c>
      <c r="AX93">
        <v>0</v>
      </c>
      <c r="AY93">
        <v>9</v>
      </c>
      <c r="AZ93">
        <v>9</v>
      </c>
      <c r="BA93">
        <v>9</v>
      </c>
      <c r="BB93">
        <v>9</v>
      </c>
    </row>
    <row r="94" spans="1:54">
      <c r="B94" t="s">
        <v>32</v>
      </c>
      <c r="C94">
        <v>42</v>
      </c>
      <c r="D94">
        <v>28.17</v>
      </c>
      <c r="E94">
        <v>7.6760000000000002</v>
      </c>
      <c r="F94">
        <v>1.1839999999999999</v>
      </c>
      <c r="G94">
        <v>25.77</v>
      </c>
      <c r="H94">
        <v>30.56</v>
      </c>
      <c r="I94">
        <v>5</v>
      </c>
      <c r="J94">
        <v>36</v>
      </c>
      <c r="M94" t="s">
        <v>32</v>
      </c>
      <c r="N94">
        <v>42</v>
      </c>
      <c r="O94">
        <v>19.55</v>
      </c>
      <c r="P94">
        <v>9.0289999999999999</v>
      </c>
      <c r="Q94">
        <v>1.393</v>
      </c>
      <c r="R94">
        <v>16.73</v>
      </c>
      <c r="S94">
        <v>22.36</v>
      </c>
      <c r="T94">
        <v>0</v>
      </c>
      <c r="U94">
        <v>34</v>
      </c>
      <c r="X94" t="s">
        <v>32</v>
      </c>
      <c r="Y94">
        <v>42</v>
      </c>
      <c r="Z94">
        <v>16.170000000000002</v>
      </c>
      <c r="AA94">
        <v>4.742</v>
      </c>
      <c r="AB94">
        <v>0.73199999999999998</v>
      </c>
      <c r="AC94">
        <v>14.69</v>
      </c>
      <c r="AD94">
        <v>17.64</v>
      </c>
      <c r="AE94">
        <v>8</v>
      </c>
      <c r="AF94">
        <v>26</v>
      </c>
      <c r="AI94" t="s">
        <v>32</v>
      </c>
      <c r="AJ94">
        <v>42</v>
      </c>
      <c r="AK94">
        <v>7.14</v>
      </c>
      <c r="AL94">
        <v>2.4649999999999999</v>
      </c>
      <c r="AM94">
        <v>0.38</v>
      </c>
      <c r="AN94">
        <v>6.37</v>
      </c>
      <c r="AO94">
        <v>7.91</v>
      </c>
      <c r="AP94">
        <v>1</v>
      </c>
      <c r="AQ94">
        <v>12</v>
      </c>
      <c r="AT94" t="s">
        <v>32</v>
      </c>
      <c r="AU94">
        <v>42</v>
      </c>
      <c r="AV94">
        <v>10.86</v>
      </c>
      <c r="AW94">
        <v>1.2010000000000001</v>
      </c>
      <c r="AX94">
        <v>0.185</v>
      </c>
      <c r="AY94">
        <v>10.48</v>
      </c>
      <c r="AZ94">
        <v>11.23</v>
      </c>
      <c r="BA94">
        <v>8</v>
      </c>
      <c r="BB94">
        <v>12</v>
      </c>
    </row>
    <row r="95" spans="1:54">
      <c r="A95" t="s">
        <v>10</v>
      </c>
      <c r="B95">
        <v>1</v>
      </c>
      <c r="C95">
        <v>37</v>
      </c>
      <c r="D95">
        <v>25.73</v>
      </c>
      <c r="E95">
        <v>9.5060000000000002</v>
      </c>
      <c r="F95">
        <v>1.5629999999999999</v>
      </c>
      <c r="G95">
        <v>22.56</v>
      </c>
      <c r="H95">
        <v>28.9</v>
      </c>
      <c r="I95">
        <v>3</v>
      </c>
      <c r="J95">
        <v>36</v>
      </c>
      <c r="L95" t="s">
        <v>10</v>
      </c>
      <c r="M95">
        <v>1</v>
      </c>
      <c r="N95">
        <v>37</v>
      </c>
      <c r="O95">
        <v>15.49</v>
      </c>
      <c r="P95">
        <v>8.6170000000000009</v>
      </c>
      <c r="Q95">
        <v>1.417</v>
      </c>
      <c r="R95">
        <v>12.61</v>
      </c>
      <c r="S95">
        <v>18.36</v>
      </c>
      <c r="T95">
        <v>3</v>
      </c>
      <c r="U95">
        <v>32</v>
      </c>
      <c r="W95" t="s">
        <v>10</v>
      </c>
      <c r="X95">
        <v>1</v>
      </c>
      <c r="Y95">
        <v>37</v>
      </c>
      <c r="Z95">
        <v>14.97</v>
      </c>
      <c r="AA95">
        <v>4.5369999999999999</v>
      </c>
      <c r="AB95">
        <v>0.746</v>
      </c>
      <c r="AC95">
        <v>13.46</v>
      </c>
      <c r="AD95">
        <v>16.489999999999998</v>
      </c>
      <c r="AE95">
        <v>8</v>
      </c>
      <c r="AF95">
        <v>24</v>
      </c>
      <c r="AH95" t="s">
        <v>10</v>
      </c>
      <c r="AI95">
        <v>1</v>
      </c>
      <c r="AJ95">
        <v>37</v>
      </c>
      <c r="AK95">
        <v>7.05</v>
      </c>
      <c r="AL95">
        <v>2.1720000000000002</v>
      </c>
      <c r="AM95">
        <v>0.35699999999999998</v>
      </c>
      <c r="AN95">
        <v>6.33</v>
      </c>
      <c r="AO95">
        <v>7.78</v>
      </c>
      <c r="AP95">
        <v>1</v>
      </c>
      <c r="AQ95">
        <v>12</v>
      </c>
      <c r="AS95" t="s">
        <v>10</v>
      </c>
      <c r="AT95">
        <v>1</v>
      </c>
      <c r="AU95">
        <v>37</v>
      </c>
      <c r="AV95">
        <v>10.68</v>
      </c>
      <c r="AW95">
        <v>1.492</v>
      </c>
      <c r="AX95">
        <v>0.245</v>
      </c>
      <c r="AY95">
        <v>10.18</v>
      </c>
      <c r="AZ95">
        <v>11.17</v>
      </c>
      <c r="BA95">
        <v>5</v>
      </c>
      <c r="BB95">
        <v>12</v>
      </c>
    </row>
    <row r="96" spans="1:54">
      <c r="B96">
        <v>2</v>
      </c>
      <c r="C96">
        <v>9</v>
      </c>
      <c r="D96">
        <v>21</v>
      </c>
      <c r="E96">
        <v>7.1760000000000002</v>
      </c>
      <c r="F96">
        <v>2.3919999999999999</v>
      </c>
      <c r="G96">
        <v>15.48</v>
      </c>
      <c r="H96">
        <v>26.52</v>
      </c>
      <c r="I96">
        <v>10</v>
      </c>
      <c r="J96">
        <v>35</v>
      </c>
      <c r="M96">
        <v>2</v>
      </c>
      <c r="N96">
        <v>9</v>
      </c>
      <c r="O96">
        <v>13.33</v>
      </c>
      <c r="P96">
        <v>4.0309999999999997</v>
      </c>
      <c r="Q96">
        <v>1.3440000000000001</v>
      </c>
      <c r="R96">
        <v>10.23</v>
      </c>
      <c r="S96">
        <v>16.43</v>
      </c>
      <c r="T96">
        <v>9</v>
      </c>
      <c r="U96">
        <v>20</v>
      </c>
      <c r="X96">
        <v>2</v>
      </c>
      <c r="Y96">
        <v>9</v>
      </c>
      <c r="Z96">
        <v>12.78</v>
      </c>
      <c r="AA96">
        <v>4.8929999999999998</v>
      </c>
      <c r="AB96">
        <v>1.631</v>
      </c>
      <c r="AC96">
        <v>9.02</v>
      </c>
      <c r="AD96">
        <v>16.54</v>
      </c>
      <c r="AE96">
        <v>7</v>
      </c>
      <c r="AF96">
        <v>21</v>
      </c>
      <c r="AI96">
        <v>2</v>
      </c>
      <c r="AJ96">
        <v>9</v>
      </c>
      <c r="AK96">
        <v>6.44</v>
      </c>
      <c r="AL96">
        <v>3.0870000000000002</v>
      </c>
      <c r="AM96">
        <v>1.0289999999999999</v>
      </c>
      <c r="AN96">
        <v>4.07</v>
      </c>
      <c r="AO96">
        <v>8.82</v>
      </c>
      <c r="AP96">
        <v>1</v>
      </c>
      <c r="AQ96">
        <v>10</v>
      </c>
      <c r="AT96">
        <v>2</v>
      </c>
      <c r="AU96">
        <v>9</v>
      </c>
      <c r="AV96">
        <v>10.44</v>
      </c>
      <c r="AW96">
        <v>2.6030000000000002</v>
      </c>
      <c r="AX96">
        <v>0.86799999999999999</v>
      </c>
      <c r="AY96">
        <v>8.44</v>
      </c>
      <c r="AZ96">
        <v>12.45</v>
      </c>
      <c r="BA96">
        <v>6</v>
      </c>
      <c r="BB96">
        <v>12</v>
      </c>
    </row>
    <row r="97" spans="1:54">
      <c r="B97" t="s">
        <v>32</v>
      </c>
      <c r="C97">
        <v>46</v>
      </c>
      <c r="D97">
        <v>24.8</v>
      </c>
      <c r="E97">
        <v>9.2219999999999995</v>
      </c>
      <c r="F97">
        <v>1.36</v>
      </c>
      <c r="G97">
        <v>22.07</v>
      </c>
      <c r="H97">
        <v>27.54</v>
      </c>
      <c r="I97">
        <v>3</v>
      </c>
      <c r="J97">
        <v>36</v>
      </c>
      <c r="M97" t="s">
        <v>32</v>
      </c>
      <c r="N97">
        <v>46</v>
      </c>
      <c r="O97">
        <v>15.07</v>
      </c>
      <c r="P97">
        <v>7.94</v>
      </c>
      <c r="Q97">
        <v>1.171</v>
      </c>
      <c r="R97">
        <v>12.71</v>
      </c>
      <c r="S97">
        <v>17.420000000000002</v>
      </c>
      <c r="T97">
        <v>3</v>
      </c>
      <c r="U97">
        <v>32</v>
      </c>
      <c r="X97" t="s">
        <v>32</v>
      </c>
      <c r="Y97">
        <v>46</v>
      </c>
      <c r="Z97">
        <v>14.54</v>
      </c>
      <c r="AA97">
        <v>4.6369999999999996</v>
      </c>
      <c r="AB97">
        <v>0.68400000000000005</v>
      </c>
      <c r="AC97">
        <v>13.17</v>
      </c>
      <c r="AD97">
        <v>15.92</v>
      </c>
      <c r="AE97">
        <v>7</v>
      </c>
      <c r="AF97">
        <v>24</v>
      </c>
      <c r="AI97" t="s">
        <v>32</v>
      </c>
      <c r="AJ97">
        <v>46</v>
      </c>
      <c r="AK97">
        <v>6.93</v>
      </c>
      <c r="AL97">
        <v>2.351</v>
      </c>
      <c r="AM97">
        <v>0.34699999999999998</v>
      </c>
      <c r="AN97">
        <v>6.24</v>
      </c>
      <c r="AO97">
        <v>7.63</v>
      </c>
      <c r="AP97">
        <v>1</v>
      </c>
      <c r="AQ97">
        <v>12</v>
      </c>
      <c r="AT97" t="s">
        <v>32</v>
      </c>
      <c r="AU97">
        <v>46</v>
      </c>
      <c r="AV97">
        <v>10.63</v>
      </c>
      <c r="AW97">
        <v>1.73</v>
      </c>
      <c r="AX97">
        <v>0.255</v>
      </c>
      <c r="AY97">
        <v>10.119999999999999</v>
      </c>
      <c r="AZ97">
        <v>11.14</v>
      </c>
      <c r="BA97">
        <v>5</v>
      </c>
      <c r="BB97">
        <v>12</v>
      </c>
    </row>
    <row r="99" spans="1:54">
      <c r="A99" t="s">
        <v>202</v>
      </c>
    </row>
    <row r="101" spans="1:54">
      <c r="A101" t="s">
        <v>203</v>
      </c>
      <c r="C101" t="s">
        <v>210</v>
      </c>
      <c r="L101" t="s">
        <v>203</v>
      </c>
      <c r="N101" t="s">
        <v>210</v>
      </c>
      <c r="W101" t="s">
        <v>203</v>
      </c>
      <c r="AH101" t="s">
        <v>203</v>
      </c>
      <c r="AS101" t="s">
        <v>203</v>
      </c>
    </row>
    <row r="102" spans="1:54">
      <c r="A102" t="s">
        <v>1</v>
      </c>
      <c r="C102" t="s">
        <v>107</v>
      </c>
      <c r="L102" t="s">
        <v>1</v>
      </c>
      <c r="N102" t="s">
        <v>108</v>
      </c>
      <c r="W102" t="s">
        <v>1</v>
      </c>
      <c r="Y102" t="s">
        <v>130</v>
      </c>
      <c r="AH102" t="s">
        <v>1</v>
      </c>
      <c r="AJ102" t="s">
        <v>113</v>
      </c>
      <c r="AS102" t="s">
        <v>1</v>
      </c>
      <c r="AU102" t="s">
        <v>129</v>
      </c>
    </row>
    <row r="103" spans="1:54">
      <c r="A103" t="s">
        <v>9</v>
      </c>
      <c r="B103" t="s">
        <v>204</v>
      </c>
      <c r="C103">
        <v>0.26800000000000002</v>
      </c>
      <c r="L103" t="s">
        <v>9</v>
      </c>
      <c r="M103" t="s">
        <v>204</v>
      </c>
      <c r="N103">
        <v>1.5649999999999999</v>
      </c>
      <c r="W103" t="s">
        <v>9</v>
      </c>
      <c r="X103" t="s">
        <v>204</v>
      </c>
      <c r="Y103">
        <v>2.5249999999999999</v>
      </c>
      <c r="AH103" t="s">
        <v>9</v>
      </c>
      <c r="AI103" t="s">
        <v>204</v>
      </c>
      <c r="AJ103">
        <v>5.7190000000000003</v>
      </c>
      <c r="AS103" t="s">
        <v>9</v>
      </c>
      <c r="AT103" t="s">
        <v>204</v>
      </c>
      <c r="AU103">
        <v>0.27800000000000002</v>
      </c>
    </row>
    <row r="104" spans="1:54">
      <c r="B104" t="s">
        <v>205</v>
      </c>
      <c r="C104">
        <v>4</v>
      </c>
      <c r="M104" t="s">
        <v>205</v>
      </c>
      <c r="N104">
        <v>4</v>
      </c>
      <c r="X104" t="s">
        <v>205</v>
      </c>
      <c r="Y104">
        <v>4</v>
      </c>
      <c r="AI104" t="s">
        <v>205</v>
      </c>
      <c r="AJ104">
        <v>4</v>
      </c>
      <c r="AT104" t="s">
        <v>205</v>
      </c>
      <c r="AU104">
        <v>4</v>
      </c>
    </row>
    <row r="105" spans="1:54">
      <c r="B105" t="s">
        <v>206</v>
      </c>
      <c r="C105">
        <v>0.99199999999999999</v>
      </c>
      <c r="M105" t="s">
        <v>206</v>
      </c>
      <c r="N105">
        <v>0.81499999999999995</v>
      </c>
      <c r="X105" t="s">
        <v>206</v>
      </c>
      <c r="Y105">
        <v>0.64</v>
      </c>
      <c r="AI105" t="s">
        <v>206</v>
      </c>
      <c r="AJ105">
        <v>0.221</v>
      </c>
      <c r="AT105" t="s">
        <v>206</v>
      </c>
      <c r="AU105">
        <v>0.99099999999999999</v>
      </c>
    </row>
    <row r="106" spans="1:54">
      <c r="A106" t="s">
        <v>10</v>
      </c>
      <c r="B106" t="s">
        <v>204</v>
      </c>
      <c r="C106">
        <v>0.753</v>
      </c>
      <c r="L106" t="s">
        <v>10</v>
      </c>
      <c r="M106" t="s">
        <v>204</v>
      </c>
      <c r="N106">
        <v>1.9E-2</v>
      </c>
      <c r="W106" t="s">
        <v>10</v>
      </c>
      <c r="X106" t="s">
        <v>204</v>
      </c>
      <c r="Y106">
        <v>0.64700000000000002</v>
      </c>
      <c r="AH106" t="s">
        <v>10</v>
      </c>
      <c r="AI106" t="s">
        <v>204</v>
      </c>
      <c r="AJ106">
        <v>1.21</v>
      </c>
      <c r="AS106" t="s">
        <v>10</v>
      </c>
      <c r="AT106" t="s">
        <v>204</v>
      </c>
      <c r="AU106">
        <v>0.56599999999999995</v>
      </c>
    </row>
    <row r="107" spans="1:54">
      <c r="B107" t="s">
        <v>205</v>
      </c>
      <c r="C107">
        <v>2</v>
      </c>
      <c r="M107" t="s">
        <v>205</v>
      </c>
      <c r="N107">
        <v>2</v>
      </c>
      <c r="X107" t="s">
        <v>205</v>
      </c>
      <c r="Y107">
        <v>2</v>
      </c>
      <c r="AI107" t="s">
        <v>205</v>
      </c>
      <c r="AJ107">
        <v>2</v>
      </c>
      <c r="AT107" t="s">
        <v>205</v>
      </c>
      <c r="AU107">
        <v>2</v>
      </c>
    </row>
    <row r="108" spans="1:54">
      <c r="B108" t="s">
        <v>206</v>
      </c>
      <c r="C108">
        <v>0.68600000000000005</v>
      </c>
      <c r="M108" t="s">
        <v>206</v>
      </c>
      <c r="N108">
        <v>0.99099999999999999</v>
      </c>
      <c r="X108" t="s">
        <v>206</v>
      </c>
      <c r="Y108">
        <v>0.72399999999999998</v>
      </c>
      <c r="AI108" t="s">
        <v>206</v>
      </c>
      <c r="AJ108">
        <v>0.54600000000000004</v>
      </c>
      <c r="AT108" t="s">
        <v>206</v>
      </c>
      <c r="AU108">
        <v>0.754</v>
      </c>
    </row>
    <row r="109" spans="1:54">
      <c r="A109" t="s">
        <v>207</v>
      </c>
      <c r="L109" t="s">
        <v>207</v>
      </c>
      <c r="W109" t="s">
        <v>207</v>
      </c>
      <c r="AH109" t="s">
        <v>207</v>
      </c>
      <c r="AS109" t="s">
        <v>207</v>
      </c>
    </row>
    <row r="110" spans="1:54">
      <c r="A110" t="s">
        <v>208</v>
      </c>
      <c r="L110" t="s">
        <v>208</v>
      </c>
      <c r="W110" t="s">
        <v>208</v>
      </c>
      <c r="AH110" t="s">
        <v>208</v>
      </c>
      <c r="AS110" t="s">
        <v>208</v>
      </c>
    </row>
    <row r="112" spans="1:54">
      <c r="L112" t="s">
        <v>203</v>
      </c>
      <c r="N112" t="s">
        <v>220</v>
      </c>
      <c r="W112" t="s">
        <v>203</v>
      </c>
      <c r="AH112" t="s">
        <v>203</v>
      </c>
      <c r="AS112" t="s">
        <v>203</v>
      </c>
    </row>
    <row r="113" spans="1:47">
      <c r="A113" t="s">
        <v>203</v>
      </c>
      <c r="C113" t="s">
        <v>211</v>
      </c>
      <c r="L113" t="s">
        <v>1</v>
      </c>
      <c r="N113" t="s">
        <v>108</v>
      </c>
      <c r="W113" t="s">
        <v>1</v>
      </c>
      <c r="Y113" t="s">
        <v>130</v>
      </c>
      <c r="AH113" t="s">
        <v>1</v>
      </c>
      <c r="AJ113" t="s">
        <v>113</v>
      </c>
      <c r="AS113" t="s">
        <v>1</v>
      </c>
      <c r="AU113" t="s">
        <v>129</v>
      </c>
    </row>
    <row r="114" spans="1:47">
      <c r="A114" t="s">
        <v>1</v>
      </c>
      <c r="C114" t="s">
        <v>107</v>
      </c>
      <c r="L114" t="s">
        <v>9</v>
      </c>
      <c r="M114" t="s">
        <v>204</v>
      </c>
      <c r="N114">
        <v>8.7279999999999998</v>
      </c>
      <c r="W114" t="s">
        <v>9</v>
      </c>
      <c r="X114" t="s">
        <v>204</v>
      </c>
      <c r="Y114">
        <v>9.2509999999999994</v>
      </c>
      <c r="AH114" t="s">
        <v>9</v>
      </c>
      <c r="AI114" t="s">
        <v>204</v>
      </c>
      <c r="AJ114">
        <v>9.7129999999999992</v>
      </c>
      <c r="AS114" t="s">
        <v>9</v>
      </c>
      <c r="AT114" t="s">
        <v>204</v>
      </c>
      <c r="AU114">
        <v>2.0579999999999998</v>
      </c>
    </row>
    <row r="115" spans="1:47">
      <c r="A115" t="s">
        <v>9</v>
      </c>
      <c r="B115" t="s">
        <v>204</v>
      </c>
      <c r="C115">
        <v>8.6259999999999994</v>
      </c>
      <c r="M115" t="s">
        <v>205</v>
      </c>
      <c r="N115">
        <v>3</v>
      </c>
      <c r="X115" t="s">
        <v>205</v>
      </c>
      <c r="Y115">
        <v>3</v>
      </c>
      <c r="AI115" t="s">
        <v>205</v>
      </c>
      <c r="AJ115">
        <v>3</v>
      </c>
      <c r="AT115" t="s">
        <v>205</v>
      </c>
      <c r="AU115">
        <v>3</v>
      </c>
    </row>
    <row r="116" spans="1:47">
      <c r="B116" t="s">
        <v>205</v>
      </c>
      <c r="C116">
        <v>3</v>
      </c>
      <c r="M116" t="s">
        <v>206</v>
      </c>
      <c r="N116">
        <v>3.3000000000000002E-2</v>
      </c>
      <c r="X116" t="s">
        <v>206</v>
      </c>
      <c r="Y116">
        <v>2.5999999999999999E-2</v>
      </c>
      <c r="AI116" t="s">
        <v>206</v>
      </c>
      <c r="AJ116">
        <v>2.1000000000000001E-2</v>
      </c>
      <c r="AT116" t="s">
        <v>206</v>
      </c>
      <c r="AU116">
        <v>0.56000000000000005</v>
      </c>
    </row>
    <row r="117" spans="1:47">
      <c r="B117" t="s">
        <v>206</v>
      </c>
      <c r="C117">
        <v>3.5000000000000003E-2</v>
      </c>
      <c r="L117" t="s">
        <v>10</v>
      </c>
      <c r="M117" t="s">
        <v>204</v>
      </c>
      <c r="N117">
        <v>21.506</v>
      </c>
      <c r="W117" t="s">
        <v>10</v>
      </c>
      <c r="X117" t="s">
        <v>204</v>
      </c>
      <c r="Y117">
        <v>12.282999999999999</v>
      </c>
      <c r="AH117" t="s">
        <v>10</v>
      </c>
      <c r="AI117" t="s">
        <v>204</v>
      </c>
      <c r="AJ117">
        <v>21.131</v>
      </c>
      <c r="AS117" t="s">
        <v>10</v>
      </c>
      <c r="AT117" t="s">
        <v>204</v>
      </c>
      <c r="AU117">
        <v>10.178000000000001</v>
      </c>
    </row>
    <row r="118" spans="1:47">
      <c r="A118" t="s">
        <v>10</v>
      </c>
      <c r="B118" t="s">
        <v>204</v>
      </c>
      <c r="C118">
        <v>18.641999999999999</v>
      </c>
      <c r="M118" t="s">
        <v>205</v>
      </c>
      <c r="N118">
        <v>3</v>
      </c>
      <c r="X118" t="s">
        <v>205</v>
      </c>
      <c r="Y118">
        <v>3</v>
      </c>
      <c r="AI118" t="s">
        <v>205</v>
      </c>
      <c r="AJ118">
        <v>3</v>
      </c>
      <c r="AT118" t="s">
        <v>205</v>
      </c>
      <c r="AU118">
        <v>3</v>
      </c>
    </row>
    <row r="119" spans="1:47">
      <c r="B119" t="s">
        <v>205</v>
      </c>
      <c r="C119">
        <v>3</v>
      </c>
      <c r="M119" t="s">
        <v>206</v>
      </c>
      <c r="N119" s="157">
        <v>0</v>
      </c>
      <c r="X119" t="s">
        <v>206</v>
      </c>
      <c r="Y119">
        <v>6.0000000000000001E-3</v>
      </c>
      <c r="AI119" t="s">
        <v>206</v>
      </c>
      <c r="AJ119">
        <v>0</v>
      </c>
      <c r="AT119" t="s">
        <v>206</v>
      </c>
      <c r="AU119">
        <v>1.7000000000000001E-2</v>
      </c>
    </row>
    <row r="120" spans="1:47">
      <c r="B120" t="s">
        <v>206</v>
      </c>
      <c r="C120" s="230">
        <v>0</v>
      </c>
      <c r="L120" t="s">
        <v>207</v>
      </c>
      <c r="W120" t="s">
        <v>207</v>
      </c>
      <c r="AH120" t="s">
        <v>207</v>
      </c>
      <c r="AS120" t="s">
        <v>207</v>
      </c>
    </row>
    <row r="121" spans="1:47">
      <c r="A121" t="s">
        <v>207</v>
      </c>
      <c r="L121" t="s">
        <v>209</v>
      </c>
      <c r="W121" t="s">
        <v>209</v>
      </c>
      <c r="AH121" t="s">
        <v>209</v>
      </c>
      <c r="AS121" t="s">
        <v>209</v>
      </c>
    </row>
    <row r="122" spans="1:47">
      <c r="A122" t="s">
        <v>209</v>
      </c>
    </row>
    <row r="123" spans="1:47">
      <c r="L123" t="s">
        <v>203</v>
      </c>
      <c r="N123" t="s">
        <v>214</v>
      </c>
      <c r="W123" t="s">
        <v>203</v>
      </c>
      <c r="AH123" t="s">
        <v>203</v>
      </c>
      <c r="AS123" t="s">
        <v>203</v>
      </c>
    </row>
    <row r="124" spans="1:47">
      <c r="A124" t="s">
        <v>203</v>
      </c>
      <c r="C124" t="s">
        <v>214</v>
      </c>
      <c r="L124" t="s">
        <v>1</v>
      </c>
      <c r="N124" t="s">
        <v>108</v>
      </c>
      <c r="W124" t="s">
        <v>1</v>
      </c>
      <c r="Y124" t="s">
        <v>130</v>
      </c>
      <c r="AH124" t="s">
        <v>1</v>
      </c>
      <c r="AJ124" t="s">
        <v>113</v>
      </c>
      <c r="AS124" t="s">
        <v>1</v>
      </c>
      <c r="AU124" t="s">
        <v>129</v>
      </c>
    </row>
    <row r="125" spans="1:47">
      <c r="A125" t="s">
        <v>1</v>
      </c>
      <c r="C125" t="s">
        <v>107</v>
      </c>
      <c r="L125" t="s">
        <v>9</v>
      </c>
      <c r="M125" t="s">
        <v>204</v>
      </c>
      <c r="N125">
        <v>10.14</v>
      </c>
      <c r="W125" t="s">
        <v>9</v>
      </c>
      <c r="X125" t="s">
        <v>204</v>
      </c>
      <c r="Y125">
        <v>7.6479999999999997</v>
      </c>
      <c r="AH125" t="s">
        <v>9</v>
      </c>
      <c r="AI125" t="s">
        <v>204</v>
      </c>
      <c r="AJ125">
        <v>6.27</v>
      </c>
      <c r="AS125" t="s">
        <v>9</v>
      </c>
      <c r="AT125" t="s">
        <v>204</v>
      </c>
      <c r="AU125">
        <v>6.2859999999999996</v>
      </c>
    </row>
    <row r="126" spans="1:47">
      <c r="A126" t="s">
        <v>9</v>
      </c>
      <c r="B126" t="s">
        <v>204</v>
      </c>
      <c r="C126">
        <v>9.6609999999999996</v>
      </c>
      <c r="M126" t="s">
        <v>205</v>
      </c>
      <c r="N126">
        <v>7</v>
      </c>
      <c r="X126" t="s">
        <v>205</v>
      </c>
      <c r="Y126">
        <v>7</v>
      </c>
      <c r="AI126" t="s">
        <v>205</v>
      </c>
      <c r="AJ126">
        <v>7</v>
      </c>
      <c r="AT126" t="s">
        <v>205</v>
      </c>
      <c r="AU126">
        <v>7</v>
      </c>
    </row>
    <row r="127" spans="1:47">
      <c r="B127" t="s">
        <v>205</v>
      </c>
      <c r="C127">
        <v>7</v>
      </c>
      <c r="M127" t="s">
        <v>206</v>
      </c>
      <c r="N127">
        <v>0.18099999999999999</v>
      </c>
      <c r="X127" t="s">
        <v>206</v>
      </c>
      <c r="Y127">
        <v>0.36499999999999999</v>
      </c>
      <c r="AI127" t="s">
        <v>206</v>
      </c>
      <c r="AJ127">
        <v>0.50900000000000001</v>
      </c>
      <c r="AT127" t="s">
        <v>206</v>
      </c>
      <c r="AU127">
        <v>0.50700000000000001</v>
      </c>
    </row>
    <row r="128" spans="1:47">
      <c r="B128" t="s">
        <v>206</v>
      </c>
      <c r="C128">
        <v>0.20899999999999999</v>
      </c>
      <c r="L128" t="s">
        <v>10</v>
      </c>
      <c r="M128" t="s">
        <v>204</v>
      </c>
      <c r="N128">
        <v>12.936999999999999</v>
      </c>
      <c r="W128" t="s">
        <v>10</v>
      </c>
      <c r="X128" t="s">
        <v>204</v>
      </c>
      <c r="Y128">
        <v>13.18</v>
      </c>
      <c r="AH128" t="s">
        <v>10</v>
      </c>
      <c r="AI128" t="s">
        <v>204</v>
      </c>
      <c r="AJ128">
        <v>9.0760000000000005</v>
      </c>
      <c r="AS128" t="s">
        <v>10</v>
      </c>
      <c r="AT128" t="s">
        <v>204</v>
      </c>
      <c r="AU128">
        <v>8.1110000000000007</v>
      </c>
    </row>
    <row r="129" spans="1:47">
      <c r="A129" t="s">
        <v>10</v>
      </c>
      <c r="B129" t="s">
        <v>204</v>
      </c>
      <c r="C129">
        <v>11.701000000000001</v>
      </c>
      <c r="M129" t="s">
        <v>205</v>
      </c>
      <c r="N129">
        <v>7</v>
      </c>
      <c r="X129" t="s">
        <v>205</v>
      </c>
      <c r="Y129">
        <v>7</v>
      </c>
      <c r="AI129" t="s">
        <v>205</v>
      </c>
      <c r="AJ129">
        <v>7</v>
      </c>
      <c r="AT129" t="s">
        <v>205</v>
      </c>
      <c r="AU129">
        <v>7</v>
      </c>
    </row>
    <row r="130" spans="1:47">
      <c r="B130" t="s">
        <v>205</v>
      </c>
      <c r="C130">
        <v>7</v>
      </c>
      <c r="M130" t="s">
        <v>206</v>
      </c>
      <c r="N130">
        <v>7.3999999999999996E-2</v>
      </c>
      <c r="X130" t="s">
        <v>206</v>
      </c>
      <c r="Y130">
        <v>6.8000000000000005E-2</v>
      </c>
      <c r="AI130" t="s">
        <v>206</v>
      </c>
      <c r="AJ130">
        <v>0.247</v>
      </c>
      <c r="AT130" t="s">
        <v>206</v>
      </c>
      <c r="AU130">
        <v>0.32300000000000001</v>
      </c>
    </row>
    <row r="131" spans="1:47">
      <c r="B131" t="s">
        <v>206</v>
      </c>
      <c r="C131">
        <v>0.111</v>
      </c>
      <c r="L131" t="s">
        <v>207</v>
      </c>
      <c r="W131" t="s">
        <v>207</v>
      </c>
      <c r="AH131" t="s">
        <v>207</v>
      </c>
      <c r="AS131" t="s">
        <v>207</v>
      </c>
    </row>
    <row r="132" spans="1:47">
      <c r="A132" t="s">
        <v>207</v>
      </c>
      <c r="L132" t="s">
        <v>212</v>
      </c>
      <c r="W132" t="s">
        <v>212</v>
      </c>
      <c r="AH132" t="s">
        <v>212</v>
      </c>
      <c r="AS132" t="s">
        <v>212</v>
      </c>
    </row>
    <row r="133" spans="1:47">
      <c r="A133" t="s">
        <v>212</v>
      </c>
    </row>
    <row r="134" spans="1:47">
      <c r="L134" t="s">
        <v>203</v>
      </c>
      <c r="N134" t="s">
        <v>221</v>
      </c>
      <c r="W134" t="s">
        <v>203</v>
      </c>
      <c r="AH134" t="s">
        <v>203</v>
      </c>
      <c r="AS134" t="s">
        <v>203</v>
      </c>
    </row>
    <row r="135" spans="1:47">
      <c r="A135" t="s">
        <v>203</v>
      </c>
      <c r="C135" t="s">
        <v>215</v>
      </c>
      <c r="L135" t="s">
        <v>1</v>
      </c>
      <c r="N135" t="s">
        <v>108</v>
      </c>
      <c r="W135" t="s">
        <v>1</v>
      </c>
      <c r="Y135" t="s">
        <v>130</v>
      </c>
      <c r="AH135" t="s">
        <v>1</v>
      </c>
      <c r="AJ135" t="s">
        <v>113</v>
      </c>
      <c r="AS135" t="s">
        <v>1</v>
      </c>
      <c r="AU135" t="s">
        <v>129</v>
      </c>
    </row>
    <row r="136" spans="1:47">
      <c r="A136" t="s">
        <v>1</v>
      </c>
      <c r="C136" t="s">
        <v>107</v>
      </c>
      <c r="L136" t="s">
        <v>9</v>
      </c>
      <c r="M136" t="s">
        <v>204</v>
      </c>
      <c r="N136">
        <v>0.71299999999999997</v>
      </c>
      <c r="W136" t="s">
        <v>9</v>
      </c>
      <c r="X136" t="s">
        <v>204</v>
      </c>
      <c r="Y136">
        <v>5.742</v>
      </c>
      <c r="AH136" t="s">
        <v>9</v>
      </c>
      <c r="AI136" t="s">
        <v>204</v>
      </c>
      <c r="AJ136">
        <v>1.3320000000000001</v>
      </c>
      <c r="AS136" t="s">
        <v>9</v>
      </c>
      <c r="AT136" t="s">
        <v>204</v>
      </c>
      <c r="AU136">
        <v>8.5000000000000006E-2</v>
      </c>
    </row>
    <row r="137" spans="1:47">
      <c r="A137" t="s">
        <v>9</v>
      </c>
      <c r="B137" t="s">
        <v>204</v>
      </c>
      <c r="C137">
        <v>1.0900000000000001</v>
      </c>
      <c r="M137" t="s">
        <v>205</v>
      </c>
      <c r="N137">
        <v>2</v>
      </c>
      <c r="X137" t="s">
        <v>205</v>
      </c>
      <c r="Y137">
        <v>2</v>
      </c>
      <c r="AI137" t="s">
        <v>205</v>
      </c>
      <c r="AJ137">
        <v>2</v>
      </c>
      <c r="AT137" t="s">
        <v>205</v>
      </c>
      <c r="AU137">
        <v>2</v>
      </c>
    </row>
    <row r="138" spans="1:47">
      <c r="B138" t="s">
        <v>205</v>
      </c>
      <c r="C138">
        <v>2</v>
      </c>
      <c r="M138" t="s">
        <v>206</v>
      </c>
      <c r="N138">
        <v>0.7</v>
      </c>
      <c r="X138" t="s">
        <v>206</v>
      </c>
      <c r="Y138">
        <v>5.7000000000000002E-2</v>
      </c>
      <c r="AI138" t="s">
        <v>206</v>
      </c>
      <c r="AJ138">
        <v>0.51400000000000001</v>
      </c>
      <c r="AT138" t="s">
        <v>206</v>
      </c>
      <c r="AU138">
        <v>0.95799999999999996</v>
      </c>
    </row>
    <row r="139" spans="1:47">
      <c r="B139" t="s">
        <v>206</v>
      </c>
      <c r="C139">
        <v>0.57999999999999996</v>
      </c>
      <c r="L139" t="s">
        <v>10</v>
      </c>
      <c r="M139" t="s">
        <v>204</v>
      </c>
      <c r="N139">
        <v>5.3460000000000001</v>
      </c>
      <c r="W139" t="s">
        <v>10</v>
      </c>
      <c r="X139" t="s">
        <v>204</v>
      </c>
      <c r="Y139">
        <v>2.9340000000000002</v>
      </c>
      <c r="AH139" t="s">
        <v>10</v>
      </c>
      <c r="AI139" t="s">
        <v>204</v>
      </c>
      <c r="AJ139">
        <v>1.413</v>
      </c>
      <c r="AS139" t="s">
        <v>10</v>
      </c>
      <c r="AT139" t="s">
        <v>204</v>
      </c>
      <c r="AU139">
        <v>3.819</v>
      </c>
    </row>
    <row r="140" spans="1:47">
      <c r="A140" t="s">
        <v>10</v>
      </c>
      <c r="B140" t="s">
        <v>204</v>
      </c>
      <c r="C140">
        <v>2.7240000000000002</v>
      </c>
      <c r="M140" t="s">
        <v>205</v>
      </c>
      <c r="N140">
        <v>3</v>
      </c>
      <c r="X140" t="s">
        <v>205</v>
      </c>
      <c r="Y140">
        <v>3</v>
      </c>
      <c r="AI140" t="s">
        <v>205</v>
      </c>
      <c r="AJ140">
        <v>3</v>
      </c>
      <c r="AT140" t="s">
        <v>205</v>
      </c>
      <c r="AU140">
        <v>3</v>
      </c>
    </row>
    <row r="141" spans="1:47">
      <c r="B141" t="s">
        <v>205</v>
      </c>
      <c r="C141">
        <v>3</v>
      </c>
      <c r="M141" t="s">
        <v>206</v>
      </c>
      <c r="N141">
        <v>0.14799999999999999</v>
      </c>
      <c r="X141" t="s">
        <v>206</v>
      </c>
      <c r="Y141">
        <v>0.40200000000000002</v>
      </c>
      <c r="AI141" t="s">
        <v>206</v>
      </c>
      <c r="AJ141">
        <v>0.70199999999999996</v>
      </c>
      <c r="AT141" t="s">
        <v>206</v>
      </c>
      <c r="AU141">
        <v>0.28199999999999997</v>
      </c>
    </row>
    <row r="142" spans="1:47">
      <c r="B142" t="s">
        <v>206</v>
      </c>
      <c r="C142">
        <v>0.436</v>
      </c>
      <c r="L142" t="s">
        <v>207</v>
      </c>
      <c r="W142" t="s">
        <v>207</v>
      </c>
      <c r="AH142" t="s">
        <v>207</v>
      </c>
      <c r="AS142" t="s">
        <v>207</v>
      </c>
    </row>
    <row r="143" spans="1:47">
      <c r="A143" t="s">
        <v>207</v>
      </c>
      <c r="L143" t="s">
        <v>213</v>
      </c>
      <c r="W143" t="s">
        <v>213</v>
      </c>
      <c r="AH143" t="s">
        <v>213</v>
      </c>
      <c r="AS143" t="s">
        <v>213</v>
      </c>
    </row>
    <row r="144" spans="1:47">
      <c r="A144" t="s">
        <v>213</v>
      </c>
    </row>
    <row r="145" spans="1:47">
      <c r="L145" t="s">
        <v>203</v>
      </c>
      <c r="N145" t="s">
        <v>222</v>
      </c>
      <c r="W145" t="s">
        <v>203</v>
      </c>
      <c r="AH145" t="s">
        <v>203</v>
      </c>
      <c r="AS145" t="s">
        <v>203</v>
      </c>
    </row>
    <row r="146" spans="1:47">
      <c r="A146" t="s">
        <v>203</v>
      </c>
      <c r="C146" t="s">
        <v>217</v>
      </c>
      <c r="L146" t="s">
        <v>1</v>
      </c>
      <c r="N146" t="s">
        <v>108</v>
      </c>
      <c r="W146" t="s">
        <v>1</v>
      </c>
      <c r="Y146" t="s">
        <v>130</v>
      </c>
      <c r="AH146" t="s">
        <v>1</v>
      </c>
      <c r="AJ146" t="s">
        <v>113</v>
      </c>
      <c r="AS146" t="s">
        <v>1</v>
      </c>
      <c r="AU146" t="s">
        <v>129</v>
      </c>
    </row>
    <row r="147" spans="1:47">
      <c r="A147" t="s">
        <v>1</v>
      </c>
      <c r="C147" t="s">
        <v>107</v>
      </c>
      <c r="L147" t="s">
        <v>9</v>
      </c>
      <c r="M147" t="s">
        <v>204</v>
      </c>
      <c r="N147">
        <v>1.0349999999999999</v>
      </c>
      <c r="W147" t="s">
        <v>9</v>
      </c>
      <c r="X147" t="s">
        <v>204</v>
      </c>
      <c r="Y147">
        <v>2.343</v>
      </c>
      <c r="AH147" t="s">
        <v>9</v>
      </c>
      <c r="AI147" t="s">
        <v>204</v>
      </c>
      <c r="AJ147">
        <v>0.46300000000000002</v>
      </c>
      <c r="AS147" t="s">
        <v>9</v>
      </c>
      <c r="AT147" t="s">
        <v>204</v>
      </c>
      <c r="AU147">
        <v>1.875</v>
      </c>
    </row>
    <row r="148" spans="1:47">
      <c r="A148" t="s">
        <v>9</v>
      </c>
      <c r="B148" t="s">
        <v>204</v>
      </c>
      <c r="C148">
        <v>4.319</v>
      </c>
      <c r="M148" t="s">
        <v>205</v>
      </c>
      <c r="N148">
        <v>3</v>
      </c>
      <c r="X148" t="s">
        <v>205</v>
      </c>
      <c r="Y148">
        <v>3</v>
      </c>
      <c r="AI148" t="s">
        <v>205</v>
      </c>
      <c r="AJ148">
        <v>3</v>
      </c>
      <c r="AT148" t="s">
        <v>205</v>
      </c>
      <c r="AU148">
        <v>3</v>
      </c>
    </row>
    <row r="149" spans="1:47">
      <c r="B149" t="s">
        <v>205</v>
      </c>
      <c r="C149">
        <v>3</v>
      </c>
      <c r="M149" t="s">
        <v>206</v>
      </c>
      <c r="N149">
        <v>0.79300000000000004</v>
      </c>
      <c r="X149" t="s">
        <v>206</v>
      </c>
      <c r="Y149">
        <v>0.504</v>
      </c>
      <c r="AI149" t="s">
        <v>206</v>
      </c>
      <c r="AJ149">
        <v>0.92700000000000005</v>
      </c>
      <c r="AT149" t="s">
        <v>206</v>
      </c>
      <c r="AU149">
        <v>0.59899999999999998</v>
      </c>
    </row>
    <row r="150" spans="1:47">
      <c r="B150" t="s">
        <v>206</v>
      </c>
      <c r="C150">
        <v>0.22900000000000001</v>
      </c>
      <c r="L150" t="s">
        <v>10</v>
      </c>
      <c r="M150" t="s">
        <v>204</v>
      </c>
      <c r="N150">
        <v>1.466</v>
      </c>
      <c r="W150" t="s">
        <v>10</v>
      </c>
      <c r="X150" t="s">
        <v>204</v>
      </c>
      <c r="Y150">
        <v>2.1440000000000001</v>
      </c>
      <c r="AH150" t="s">
        <v>10</v>
      </c>
      <c r="AI150" t="s">
        <v>204</v>
      </c>
      <c r="AJ150">
        <v>4.0259999999999998</v>
      </c>
      <c r="AS150" t="s">
        <v>10</v>
      </c>
      <c r="AT150" t="s">
        <v>204</v>
      </c>
      <c r="AU150">
        <v>1.958</v>
      </c>
    </row>
    <row r="151" spans="1:47">
      <c r="A151" t="s">
        <v>10</v>
      </c>
      <c r="B151" t="s">
        <v>204</v>
      </c>
      <c r="C151">
        <v>0.41199999999999998</v>
      </c>
      <c r="M151" t="s">
        <v>205</v>
      </c>
      <c r="N151">
        <v>3</v>
      </c>
      <c r="X151" t="s">
        <v>205</v>
      </c>
      <c r="Y151">
        <v>3</v>
      </c>
      <c r="AI151" t="s">
        <v>205</v>
      </c>
      <c r="AJ151">
        <v>3</v>
      </c>
      <c r="AT151" t="s">
        <v>205</v>
      </c>
      <c r="AU151">
        <v>3</v>
      </c>
    </row>
    <row r="152" spans="1:47">
      <c r="B152" t="s">
        <v>205</v>
      </c>
      <c r="C152">
        <v>3</v>
      </c>
      <c r="M152" t="s">
        <v>206</v>
      </c>
      <c r="N152">
        <v>0.69</v>
      </c>
      <c r="X152" t="s">
        <v>206</v>
      </c>
      <c r="Y152">
        <v>0.54300000000000004</v>
      </c>
      <c r="AI152" t="s">
        <v>206</v>
      </c>
      <c r="AJ152">
        <v>0.25900000000000001</v>
      </c>
      <c r="AT152" t="s">
        <v>206</v>
      </c>
      <c r="AU152">
        <v>0.58099999999999996</v>
      </c>
    </row>
    <row r="153" spans="1:47">
      <c r="B153" t="s">
        <v>206</v>
      </c>
      <c r="C153">
        <v>0.93799999999999994</v>
      </c>
      <c r="L153" t="s">
        <v>207</v>
      </c>
      <c r="W153" t="s">
        <v>207</v>
      </c>
      <c r="AH153" t="s">
        <v>207</v>
      </c>
      <c r="AS153" t="s">
        <v>207</v>
      </c>
    </row>
    <row r="154" spans="1:47">
      <c r="A154" t="s">
        <v>207</v>
      </c>
      <c r="L154" t="s">
        <v>216</v>
      </c>
      <c r="W154" t="s">
        <v>216</v>
      </c>
      <c r="AH154" t="s">
        <v>216</v>
      </c>
      <c r="AS154" t="s">
        <v>216</v>
      </c>
    </row>
    <row r="155" spans="1:47">
      <c r="A155" t="s">
        <v>216</v>
      </c>
    </row>
    <row r="156" spans="1:47">
      <c r="L156" t="s">
        <v>203</v>
      </c>
      <c r="W156" t="s">
        <v>203</v>
      </c>
      <c r="AH156" t="s">
        <v>203</v>
      </c>
      <c r="AS156" t="s">
        <v>203</v>
      </c>
    </row>
    <row r="157" spans="1:47">
      <c r="A157" t="s">
        <v>203</v>
      </c>
      <c r="C157" t="s">
        <v>219</v>
      </c>
      <c r="L157" t="s">
        <v>1</v>
      </c>
      <c r="N157" t="s">
        <v>108</v>
      </c>
      <c r="W157" t="s">
        <v>1</v>
      </c>
      <c r="Y157" t="s">
        <v>130</v>
      </c>
      <c r="AH157" t="s">
        <v>1</v>
      </c>
      <c r="AJ157" t="s">
        <v>113</v>
      </c>
      <c r="AS157" t="s">
        <v>1</v>
      </c>
      <c r="AU157" t="s">
        <v>129</v>
      </c>
    </row>
    <row r="158" spans="1:47">
      <c r="A158" t="s">
        <v>1</v>
      </c>
      <c r="C158" t="s">
        <v>107</v>
      </c>
      <c r="L158" t="s">
        <v>9</v>
      </c>
      <c r="M158" t="s">
        <v>204</v>
      </c>
      <c r="N158">
        <v>2.8730000000000002</v>
      </c>
      <c r="W158" t="s">
        <v>9</v>
      </c>
      <c r="X158" t="s">
        <v>204</v>
      </c>
      <c r="Y158">
        <v>3.15</v>
      </c>
      <c r="AH158" t="s">
        <v>9</v>
      </c>
      <c r="AI158" t="s">
        <v>204</v>
      </c>
      <c r="AJ158">
        <v>4.6219999999999999</v>
      </c>
      <c r="AS158" t="s">
        <v>9</v>
      </c>
      <c r="AT158" t="s">
        <v>204</v>
      </c>
      <c r="AU158">
        <v>6.7050000000000001</v>
      </c>
    </row>
    <row r="159" spans="1:47">
      <c r="A159" t="s">
        <v>9</v>
      </c>
      <c r="B159" t="s">
        <v>204</v>
      </c>
      <c r="C159">
        <v>0.16400000000000001</v>
      </c>
      <c r="M159" t="s">
        <v>205</v>
      </c>
      <c r="N159">
        <v>2</v>
      </c>
      <c r="X159" t="s">
        <v>205</v>
      </c>
      <c r="Y159">
        <v>2</v>
      </c>
      <c r="AI159" t="s">
        <v>205</v>
      </c>
      <c r="AJ159">
        <v>2</v>
      </c>
      <c r="AT159" t="s">
        <v>205</v>
      </c>
      <c r="AU159">
        <v>2</v>
      </c>
    </row>
    <row r="160" spans="1:47">
      <c r="B160" t="s">
        <v>205</v>
      </c>
      <c r="C160">
        <v>2</v>
      </c>
      <c r="M160" t="s">
        <v>206</v>
      </c>
      <c r="N160">
        <v>0.23799999999999999</v>
      </c>
      <c r="X160" t="s">
        <v>206</v>
      </c>
      <c r="Y160">
        <v>0.20699999999999999</v>
      </c>
      <c r="AI160" t="s">
        <v>206</v>
      </c>
      <c r="AJ160">
        <v>9.9000000000000005E-2</v>
      </c>
      <c r="AT160" t="s">
        <v>206</v>
      </c>
      <c r="AU160">
        <v>3.5000000000000003E-2</v>
      </c>
    </row>
    <row r="161" spans="1:47">
      <c r="B161" t="s">
        <v>206</v>
      </c>
      <c r="C161">
        <v>0.92100000000000004</v>
      </c>
      <c r="L161" t="s">
        <v>10</v>
      </c>
      <c r="M161" t="s">
        <v>204</v>
      </c>
      <c r="N161">
        <v>8.5000000000000006E-2</v>
      </c>
      <c r="W161" t="s">
        <v>10</v>
      </c>
      <c r="X161" t="s">
        <v>204</v>
      </c>
      <c r="Y161">
        <v>1.708</v>
      </c>
      <c r="AH161" t="s">
        <v>10</v>
      </c>
      <c r="AI161" t="s">
        <v>204</v>
      </c>
      <c r="AJ161">
        <v>7.0999999999999994E-2</v>
      </c>
      <c r="AS161" t="s">
        <v>10</v>
      </c>
      <c r="AT161" t="s">
        <v>204</v>
      </c>
      <c r="AU161">
        <v>0.66100000000000003</v>
      </c>
    </row>
    <row r="162" spans="1:47">
      <c r="A162" t="s">
        <v>10</v>
      </c>
      <c r="B162" t="s">
        <v>204</v>
      </c>
      <c r="C162">
        <v>2.0819999999999999</v>
      </c>
      <c r="M162" t="s">
        <v>205</v>
      </c>
      <c r="N162">
        <v>1</v>
      </c>
      <c r="X162" t="s">
        <v>205</v>
      </c>
      <c r="Y162">
        <v>1</v>
      </c>
      <c r="AI162" t="s">
        <v>205</v>
      </c>
      <c r="AJ162">
        <v>1</v>
      </c>
      <c r="AT162" t="s">
        <v>205</v>
      </c>
      <c r="AU162">
        <v>1</v>
      </c>
    </row>
    <row r="163" spans="1:47">
      <c r="B163" t="s">
        <v>205</v>
      </c>
      <c r="C163">
        <v>1</v>
      </c>
      <c r="M163" t="s">
        <v>206</v>
      </c>
      <c r="N163">
        <v>0.77100000000000002</v>
      </c>
      <c r="X163" t="s">
        <v>206</v>
      </c>
      <c r="Y163">
        <v>0.191</v>
      </c>
      <c r="AI163" t="s">
        <v>206</v>
      </c>
      <c r="AJ163">
        <v>0.79</v>
      </c>
      <c r="AT163" t="s">
        <v>206</v>
      </c>
      <c r="AU163">
        <v>0.41599999999999998</v>
      </c>
    </row>
    <row r="164" spans="1:47">
      <c r="B164" t="s">
        <v>206</v>
      </c>
      <c r="C164">
        <v>0.14899999999999999</v>
      </c>
      <c r="L164" t="s">
        <v>207</v>
      </c>
      <c r="W164" t="s">
        <v>207</v>
      </c>
      <c r="AH164" t="s">
        <v>207</v>
      </c>
      <c r="AS164" t="s">
        <v>207</v>
      </c>
    </row>
    <row r="165" spans="1:47">
      <c r="A165" t="s">
        <v>207</v>
      </c>
      <c r="L165" t="s">
        <v>218</v>
      </c>
      <c r="W165" t="s">
        <v>218</v>
      </c>
      <c r="AH165" t="s">
        <v>218</v>
      </c>
      <c r="AS165" t="s">
        <v>218</v>
      </c>
    </row>
    <row r="166" spans="1:47">
      <c r="A166" t="s">
        <v>218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5"/>
  <sheetViews>
    <sheetView zoomScale="145" zoomScaleNormal="145" workbookViewId="0">
      <selection activeCell="F2" sqref="F2"/>
    </sheetView>
  </sheetViews>
  <sheetFormatPr baseColWidth="10" defaultRowHeight="15"/>
  <cols>
    <col min="1" max="1" width="15" customWidth="1"/>
    <col min="2" max="2" width="19.28515625" bestFit="1" customWidth="1"/>
    <col min="7" max="7" width="20.42578125" customWidth="1"/>
    <col min="8" max="8" width="18.140625" customWidth="1"/>
  </cols>
  <sheetData>
    <row r="1" spans="1:10">
      <c r="A1" s="143" t="s">
        <v>274</v>
      </c>
      <c r="B1" s="144" t="s">
        <v>268</v>
      </c>
      <c r="C1" s="144" t="s">
        <v>269</v>
      </c>
      <c r="D1" s="144" t="s">
        <v>270</v>
      </c>
      <c r="E1" s="144" t="s">
        <v>271</v>
      </c>
      <c r="F1" s="144" t="s">
        <v>272</v>
      </c>
      <c r="G1" s="145" t="s">
        <v>286</v>
      </c>
      <c r="H1" s="145" t="s">
        <v>288</v>
      </c>
    </row>
    <row r="2" spans="1:10">
      <c r="A2" s="320">
        <v>1</v>
      </c>
      <c r="B2" s="132" t="s">
        <v>273</v>
      </c>
      <c r="C2" s="132">
        <v>21.080561677924901</v>
      </c>
      <c r="D2" s="132">
        <v>10.6321211482244</v>
      </c>
      <c r="E2" s="132">
        <v>1.98272399119958</v>
      </c>
      <c r="F2" s="132">
        <v>5.10607209331847E-2</v>
      </c>
      <c r="G2" s="80" t="s">
        <v>287</v>
      </c>
      <c r="H2" s="80" t="s">
        <v>289</v>
      </c>
      <c r="I2">
        <f>SUM(I3:I14)</f>
        <v>-5.1593557774658905</v>
      </c>
      <c r="J2">
        <f>C2+I2</f>
        <v>15.921205900459011</v>
      </c>
    </row>
    <row r="3" spans="1:10">
      <c r="A3" s="320"/>
      <c r="B3" s="132" t="s">
        <v>0</v>
      </c>
      <c r="C3" s="132">
        <v>-8.9876302627662205E-2</v>
      </c>
      <c r="D3" s="132">
        <v>8.6226412222816906E-2</v>
      </c>
      <c r="E3" s="132">
        <v>-1.04232914614856</v>
      </c>
      <c r="F3" s="132">
        <v>0.30060737872524401</v>
      </c>
      <c r="H3" s="252">
        <v>22</v>
      </c>
      <c r="I3">
        <f>C3*H3</f>
        <v>-1.9772786578085686</v>
      </c>
    </row>
    <row r="4" spans="1:10">
      <c r="A4" s="320"/>
      <c r="B4" s="132" t="s">
        <v>1</v>
      </c>
      <c r="C4" s="132">
        <v>-2.5941500698517399</v>
      </c>
      <c r="D4" s="132">
        <v>1.7189787358778299</v>
      </c>
      <c r="E4" s="132">
        <v>-1.50912283887385</v>
      </c>
      <c r="F4" s="132">
        <v>0.13546883505924801</v>
      </c>
      <c r="H4" s="252">
        <v>2</v>
      </c>
      <c r="I4" s="80">
        <f t="shared" ref="I4:I14" si="0">C4*H4</f>
        <v>-5.1883001397034798</v>
      </c>
    </row>
    <row r="5" spans="1:10">
      <c r="A5" s="320"/>
      <c r="B5" s="132" t="s">
        <v>38</v>
      </c>
      <c r="C5" s="132">
        <v>0.86869881205793698</v>
      </c>
      <c r="D5" s="132">
        <v>0.33419001818872002</v>
      </c>
      <c r="E5" s="132">
        <v>2.5994157957386301</v>
      </c>
      <c r="F5" s="132">
        <v>1.12395875682783E-2</v>
      </c>
      <c r="H5" s="253">
        <v>1</v>
      </c>
      <c r="I5" s="80">
        <f t="shared" si="0"/>
        <v>0.86869881205793698</v>
      </c>
    </row>
    <row r="6" spans="1:10">
      <c r="A6" s="320"/>
      <c r="B6" s="132" t="s">
        <v>190</v>
      </c>
      <c r="C6" s="132">
        <v>0.16416867923565101</v>
      </c>
      <c r="D6" s="132">
        <v>0.45246554090223301</v>
      </c>
      <c r="E6" s="132">
        <v>0.36283134160513703</v>
      </c>
      <c r="F6" s="132">
        <v>0.71775142193442099</v>
      </c>
      <c r="H6" s="252">
        <v>4</v>
      </c>
      <c r="I6" s="80">
        <f t="shared" si="0"/>
        <v>0.65667471694260404</v>
      </c>
    </row>
    <row r="7" spans="1:10">
      <c r="A7" s="320"/>
      <c r="B7" s="132" t="s">
        <v>71</v>
      </c>
      <c r="C7" s="132">
        <v>-1.53634250239235</v>
      </c>
      <c r="D7" s="132">
        <v>1.97043632370892</v>
      </c>
      <c r="E7" s="132">
        <v>-0.77969660014210296</v>
      </c>
      <c r="F7" s="132">
        <v>0.43802305757627502</v>
      </c>
      <c r="H7" s="252">
        <v>1</v>
      </c>
      <c r="I7" s="80">
        <f t="shared" si="0"/>
        <v>-1.53634250239235</v>
      </c>
    </row>
    <row r="8" spans="1:10">
      <c r="A8" s="320"/>
      <c r="B8" s="132" t="s">
        <v>14</v>
      </c>
      <c r="C8" s="132">
        <v>1.48984331477736</v>
      </c>
      <c r="D8" s="132">
        <v>1.47914742457676</v>
      </c>
      <c r="E8" s="132">
        <v>1.00723111842869</v>
      </c>
      <c r="F8" s="132">
        <v>0.31706233632034703</v>
      </c>
      <c r="H8" s="252">
        <v>1</v>
      </c>
      <c r="I8" s="80">
        <f t="shared" si="0"/>
        <v>1.48984331477736</v>
      </c>
    </row>
    <row r="9" spans="1:10">
      <c r="A9" s="320"/>
      <c r="B9" s="132" t="s">
        <v>125</v>
      </c>
      <c r="C9" s="132">
        <v>-7.4873368225328204E-6</v>
      </c>
      <c r="D9" s="132">
        <v>4.9329975145269901E-6</v>
      </c>
      <c r="E9" s="132">
        <v>-1.51780672917099</v>
      </c>
      <c r="F9" s="132">
        <v>0.133267288059669</v>
      </c>
      <c r="H9" s="252">
        <v>100000</v>
      </c>
      <c r="I9" s="80">
        <f t="shared" si="0"/>
        <v>-0.74873368225328207</v>
      </c>
    </row>
    <row r="10" spans="1:10">
      <c r="A10" s="320"/>
      <c r="B10" s="132" t="s">
        <v>52</v>
      </c>
      <c r="C10" s="132">
        <v>-3.2537740661025598</v>
      </c>
      <c r="D10" s="132">
        <v>1.7009890439775399</v>
      </c>
      <c r="E10" s="132">
        <v>-1.91287185395035</v>
      </c>
      <c r="F10" s="132">
        <v>5.9582152636061599E-2</v>
      </c>
      <c r="H10" s="252">
        <v>1</v>
      </c>
      <c r="I10" s="80">
        <f t="shared" si="0"/>
        <v>-3.2537740661025598</v>
      </c>
    </row>
    <row r="11" spans="1:10">
      <c r="A11" s="320"/>
      <c r="B11" s="132" t="s">
        <v>73</v>
      </c>
      <c r="C11" s="132">
        <v>0.11432557898758799</v>
      </c>
      <c r="D11" s="132">
        <v>0.29975485730971102</v>
      </c>
      <c r="E11" s="132">
        <v>0.38139691884781002</v>
      </c>
      <c r="F11" s="132">
        <v>0.70398710862972003</v>
      </c>
      <c r="H11" s="252">
        <v>24</v>
      </c>
      <c r="I11" s="80">
        <f t="shared" si="0"/>
        <v>2.7438138957021119</v>
      </c>
    </row>
    <row r="12" spans="1:10">
      <c r="A12" s="320"/>
      <c r="B12" s="132" t="s">
        <v>284</v>
      </c>
      <c r="C12" s="132">
        <v>-0.49395336776828802</v>
      </c>
      <c r="D12" s="132">
        <v>2.3486660687835701</v>
      </c>
      <c r="E12" s="132">
        <v>-0.210312302090743</v>
      </c>
      <c r="F12" s="132">
        <v>0.833994250705127</v>
      </c>
      <c r="H12" s="252">
        <v>1</v>
      </c>
      <c r="I12" s="80">
        <f t="shared" si="0"/>
        <v>-0.49395336776828802</v>
      </c>
    </row>
    <row r="13" spans="1:10">
      <c r="A13" s="320"/>
      <c r="B13" s="132" t="s">
        <v>285</v>
      </c>
      <c r="C13" s="132">
        <v>-1.33211047944867</v>
      </c>
      <c r="D13" s="132">
        <v>3.2899580272854498</v>
      </c>
      <c r="E13" s="132">
        <v>-0.40490196786729199</v>
      </c>
      <c r="F13" s="132">
        <v>0.68670212684577703</v>
      </c>
      <c r="H13" s="252">
        <v>1</v>
      </c>
      <c r="I13" s="80">
        <f t="shared" si="0"/>
        <v>-1.33211047944867</v>
      </c>
    </row>
    <row r="14" spans="1:10">
      <c r="A14" s="320"/>
      <c r="B14" s="132" t="s">
        <v>267</v>
      </c>
      <c r="C14" s="132">
        <v>0.22575664865820599</v>
      </c>
      <c r="D14" s="132">
        <v>0.10004497714545001</v>
      </c>
      <c r="E14" s="132">
        <v>2.2565515541074102</v>
      </c>
      <c r="F14" s="132">
        <v>2.6949260371392302E-2</v>
      </c>
      <c r="H14" s="253">
        <v>16</v>
      </c>
      <c r="I14" s="80">
        <f t="shared" si="0"/>
        <v>3.6121063785312959</v>
      </c>
    </row>
    <row r="15" spans="1:10" ht="30.75" thickBot="1">
      <c r="B15" s="133" t="s">
        <v>268</v>
      </c>
      <c r="C15" s="133" t="s">
        <v>269</v>
      </c>
      <c r="D15" s="133" t="s">
        <v>270</v>
      </c>
      <c r="E15" s="133" t="s">
        <v>271</v>
      </c>
      <c r="F15" s="133" t="s">
        <v>272</v>
      </c>
      <c r="G15" s="142" t="s">
        <v>290</v>
      </c>
      <c r="H15" s="142" t="s">
        <v>291</v>
      </c>
    </row>
    <row r="16" spans="1:10">
      <c r="A16" s="319">
        <v>2</v>
      </c>
      <c r="B16" s="146" t="s">
        <v>273</v>
      </c>
      <c r="C16" s="146">
        <v>22.527900162126901</v>
      </c>
      <c r="D16" s="146">
        <v>5.8434223377658698</v>
      </c>
      <c r="E16" s="146">
        <v>3.8552579053767402</v>
      </c>
      <c r="F16" s="146">
        <v>2.2721857689556201E-4</v>
      </c>
      <c r="G16" s="25"/>
      <c r="H16" s="25"/>
    </row>
    <row r="17" spans="1:8">
      <c r="A17" s="320"/>
      <c r="B17" s="146" t="s">
        <v>0</v>
      </c>
      <c r="C17" s="146">
        <v>-9.5328196291584399E-2</v>
      </c>
      <c r="D17" s="146">
        <v>7.8901836051612301E-2</v>
      </c>
      <c r="E17" s="146">
        <v>-1.20818730034656</v>
      </c>
      <c r="F17" s="146">
        <v>0.23040634704782401</v>
      </c>
      <c r="G17" s="25"/>
      <c r="H17" s="25"/>
    </row>
    <row r="18" spans="1:8">
      <c r="A18" s="320"/>
      <c r="B18" s="146" t="s">
        <v>1</v>
      </c>
      <c r="C18" s="146">
        <v>-2.1407752672239</v>
      </c>
      <c r="D18" s="146">
        <v>1.5690788977693999</v>
      </c>
      <c r="E18" s="146">
        <v>-1.3643515761171801</v>
      </c>
      <c r="F18" s="146">
        <v>0.176144912180215</v>
      </c>
      <c r="G18" s="25"/>
      <c r="H18" s="25"/>
    </row>
    <row r="19" spans="1:8">
      <c r="A19" s="320"/>
      <c r="B19" s="146" t="s">
        <v>38</v>
      </c>
      <c r="C19" s="146">
        <v>0.73204690158332297</v>
      </c>
      <c r="D19" s="146">
        <v>0.24106425885694499</v>
      </c>
      <c r="E19" s="146">
        <v>3.0367293146419598</v>
      </c>
      <c r="F19" s="146">
        <v>3.19536147958175E-3</v>
      </c>
      <c r="G19" s="25"/>
      <c r="H19" s="25"/>
    </row>
    <row r="20" spans="1:8">
      <c r="A20" s="321"/>
      <c r="B20" s="147" t="s">
        <v>267</v>
      </c>
      <c r="C20" s="147">
        <v>0.15121225492204801</v>
      </c>
      <c r="D20" s="147">
        <v>9.70249568385151E-2</v>
      </c>
      <c r="E20" s="147">
        <v>1.55848824724262</v>
      </c>
      <c r="F20" s="147">
        <v>0.122922603259787</v>
      </c>
      <c r="G20" s="24"/>
      <c r="H20" s="24"/>
    </row>
    <row r="21" spans="1:8">
      <c r="A21" s="322" t="s">
        <v>275</v>
      </c>
      <c r="B21" s="322"/>
      <c r="C21" s="322"/>
      <c r="D21" s="322"/>
      <c r="E21" s="322"/>
      <c r="F21" s="322"/>
    </row>
    <row r="22" spans="1:8" ht="30">
      <c r="A22" s="148" t="s">
        <v>276</v>
      </c>
      <c r="B22" s="147" t="s">
        <v>268</v>
      </c>
      <c r="C22" s="147" t="s">
        <v>269</v>
      </c>
      <c r="D22" s="147" t="s">
        <v>270</v>
      </c>
      <c r="E22" s="147" t="s">
        <v>271</v>
      </c>
      <c r="F22" s="147" t="s">
        <v>272</v>
      </c>
      <c r="G22" s="149" t="s">
        <v>292</v>
      </c>
      <c r="H22" s="149" t="s">
        <v>293</v>
      </c>
    </row>
    <row r="23" spans="1:8">
      <c r="A23" s="320">
        <v>1</v>
      </c>
      <c r="B23" s="141" t="s">
        <v>273</v>
      </c>
      <c r="C23" s="134">
        <v>14.9767468199414</v>
      </c>
      <c r="D23" s="134">
        <v>10.1173858037511</v>
      </c>
      <c r="E23" s="134">
        <v>1.4802980839565001</v>
      </c>
      <c r="F23" s="134">
        <v>0.14298240899699499</v>
      </c>
    </row>
    <row r="24" spans="1:8">
      <c r="A24" s="320"/>
      <c r="B24" s="141" t="s">
        <v>0</v>
      </c>
      <c r="C24" s="134">
        <v>3.7795689762045399E-2</v>
      </c>
      <c r="D24" s="134">
        <v>8.2051912950334094E-2</v>
      </c>
      <c r="E24" s="134">
        <v>0.46063142714202199</v>
      </c>
      <c r="F24" s="134">
        <v>0.64639593420087305</v>
      </c>
    </row>
    <row r="25" spans="1:8">
      <c r="A25" s="320"/>
      <c r="B25" s="141" t="s">
        <v>1</v>
      </c>
      <c r="C25" s="134">
        <v>-3.65186042375516</v>
      </c>
      <c r="D25" s="134">
        <v>1.6357574200727401</v>
      </c>
      <c r="E25" s="134">
        <v>-2.2325195526808401</v>
      </c>
      <c r="F25" s="134">
        <v>2.8565124890048699E-2</v>
      </c>
    </row>
    <row r="26" spans="1:8">
      <c r="A26" s="320"/>
      <c r="B26" s="141" t="s">
        <v>38</v>
      </c>
      <c r="C26" s="134">
        <v>1.43912159017703</v>
      </c>
      <c r="D26" s="134">
        <v>0.31801079941066401</v>
      </c>
      <c r="E26" s="134">
        <v>4.5253859077868004</v>
      </c>
      <c r="F26" s="134">
        <v>2.2223414748729901E-5</v>
      </c>
    </row>
    <row r="27" spans="1:8">
      <c r="A27" s="320"/>
      <c r="B27" s="141" t="s">
        <v>190</v>
      </c>
      <c r="C27" s="134">
        <v>-9.4169322652338405E-2</v>
      </c>
      <c r="D27" s="134">
        <v>0.43056022184014597</v>
      </c>
      <c r="E27" s="134">
        <v>-0.21871347578249001</v>
      </c>
      <c r="F27" s="134">
        <v>0.82746732206846596</v>
      </c>
    </row>
    <row r="28" spans="1:8">
      <c r="A28" s="320"/>
      <c r="B28" s="141" t="s">
        <v>71</v>
      </c>
      <c r="C28" s="134">
        <v>-0.71011681407620897</v>
      </c>
      <c r="D28" s="134">
        <v>1.8750411334447099</v>
      </c>
      <c r="E28" s="134">
        <v>-0.37872065919515502</v>
      </c>
      <c r="F28" s="134">
        <v>0.70596529490492899</v>
      </c>
    </row>
    <row r="29" spans="1:8">
      <c r="A29" s="320"/>
      <c r="B29" s="141" t="s">
        <v>14</v>
      </c>
      <c r="C29" s="134">
        <v>-8.2626323031330495E-2</v>
      </c>
      <c r="D29" s="134">
        <v>1.4075371176114899</v>
      </c>
      <c r="E29" s="134">
        <v>-5.8702766696158398E-2</v>
      </c>
      <c r="F29" s="134">
        <v>0.95334498514075705</v>
      </c>
    </row>
    <row r="30" spans="1:8">
      <c r="A30" s="320"/>
      <c r="B30" s="141" t="s">
        <v>125</v>
      </c>
      <c r="C30" s="134">
        <v>-9.1088141632443298E-6</v>
      </c>
      <c r="D30" s="134">
        <v>4.6941751629447604E-6</v>
      </c>
      <c r="E30" s="134">
        <v>-1.94045041930863</v>
      </c>
      <c r="F30" s="134">
        <v>5.6083773544387101E-2</v>
      </c>
    </row>
    <row r="31" spans="1:8">
      <c r="A31" s="320"/>
      <c r="B31" s="141" t="s">
        <v>52</v>
      </c>
      <c r="C31" s="134">
        <v>-2.4011999794041299</v>
      </c>
      <c r="D31" s="134">
        <v>1.6186386672944</v>
      </c>
      <c r="E31" s="134">
        <v>-1.48346881112003</v>
      </c>
      <c r="F31" s="134">
        <v>0.14214027376192401</v>
      </c>
    </row>
    <row r="32" spans="1:8">
      <c r="A32" s="320"/>
      <c r="B32" s="141" t="s">
        <v>73</v>
      </c>
      <c r="C32" s="134">
        <v>-7.2140064556976399E-2</v>
      </c>
      <c r="D32" s="134">
        <v>0.28524275595346898</v>
      </c>
      <c r="E32" s="134">
        <v>-0.25290761308148502</v>
      </c>
      <c r="F32" s="134">
        <v>0.80103151127130001</v>
      </c>
    </row>
    <row r="33" spans="1:8">
      <c r="A33" s="320"/>
      <c r="B33" s="141" t="s">
        <v>284</v>
      </c>
      <c r="C33" s="134">
        <v>0.76774753517297101</v>
      </c>
      <c r="D33" s="134">
        <v>2.2349595542401399</v>
      </c>
      <c r="E33" s="134">
        <v>0.343517417895286</v>
      </c>
      <c r="F33" s="134">
        <v>0.73217036555999504</v>
      </c>
    </row>
    <row r="34" spans="1:8">
      <c r="A34" s="320"/>
      <c r="B34" s="141" t="s">
        <v>285</v>
      </c>
      <c r="C34" s="134">
        <v>-1.71917076094882</v>
      </c>
      <c r="D34" s="134">
        <v>3.13068052706994</v>
      </c>
      <c r="E34" s="134">
        <v>-0.54913644049072596</v>
      </c>
      <c r="F34" s="134">
        <v>0.58454310688866495</v>
      </c>
    </row>
    <row r="35" spans="1:8">
      <c r="A35" s="320"/>
      <c r="B35" s="141" t="s">
        <v>267</v>
      </c>
      <c r="C35" s="134">
        <v>0.14114213149530699</v>
      </c>
      <c r="D35" s="134">
        <v>9.5201476487785999E-2</v>
      </c>
      <c r="E35" s="134">
        <v>1.48256242132353</v>
      </c>
      <c r="F35" s="134">
        <v>0.142380610503577</v>
      </c>
    </row>
    <row r="36" spans="1:8" ht="30.75" thickBot="1">
      <c r="A36" s="80"/>
      <c r="B36" s="141" t="s">
        <v>268</v>
      </c>
      <c r="C36" s="135" t="s">
        <v>269</v>
      </c>
      <c r="D36" s="135" t="s">
        <v>270</v>
      </c>
      <c r="E36" s="135" t="s">
        <v>271</v>
      </c>
      <c r="F36" s="135" t="s">
        <v>272</v>
      </c>
      <c r="G36" s="142" t="s">
        <v>294</v>
      </c>
      <c r="H36" s="142" t="s">
        <v>295</v>
      </c>
    </row>
    <row r="37" spans="1:8">
      <c r="A37" s="319">
        <v>2</v>
      </c>
      <c r="B37" s="146" t="s">
        <v>273</v>
      </c>
      <c r="C37" s="146">
        <v>11.5452793199336</v>
      </c>
      <c r="D37" s="146">
        <v>5.5499619144662304</v>
      </c>
      <c r="E37" s="146">
        <v>2.08024478327326</v>
      </c>
      <c r="F37" s="146">
        <v>4.0587509810778501E-2</v>
      </c>
      <c r="G37" s="25"/>
      <c r="H37" s="25"/>
    </row>
    <row r="38" spans="1:8">
      <c r="A38" s="320"/>
      <c r="B38" s="146" t="s">
        <v>0</v>
      </c>
      <c r="C38" s="146">
        <v>-8.0488721715974796E-3</v>
      </c>
      <c r="D38" s="146">
        <v>7.4939335162847606E-2</v>
      </c>
      <c r="E38" s="146">
        <v>-0.107405171851429</v>
      </c>
      <c r="F38" s="146">
        <v>0.91472675110658297</v>
      </c>
      <c r="G38" s="25"/>
      <c r="H38" s="25"/>
    </row>
    <row r="39" spans="1:8">
      <c r="A39" s="320"/>
      <c r="B39" s="146" t="s">
        <v>1</v>
      </c>
      <c r="C39" s="146">
        <v>-2.5942095666701999</v>
      </c>
      <c r="D39" s="146">
        <v>1.49027874763239</v>
      </c>
      <c r="E39" s="146">
        <v>-1.7407545875505701</v>
      </c>
      <c r="F39" s="146">
        <v>8.54323896213562E-2</v>
      </c>
      <c r="G39" s="25"/>
      <c r="H39" s="25"/>
    </row>
    <row r="40" spans="1:8">
      <c r="A40" s="320"/>
      <c r="B40" s="146" t="s">
        <v>38</v>
      </c>
      <c r="C40" s="146">
        <v>1.13677653336689</v>
      </c>
      <c r="D40" s="146">
        <v>0.228957856930567</v>
      </c>
      <c r="E40" s="146">
        <v>4.9650033792534396</v>
      </c>
      <c r="F40" s="146">
        <v>3.61691323409009E-6</v>
      </c>
      <c r="G40" s="25"/>
      <c r="H40" s="25"/>
    </row>
    <row r="41" spans="1:8">
      <c r="A41" s="321"/>
      <c r="B41" s="147" t="s">
        <v>267</v>
      </c>
      <c r="C41" s="147">
        <v>7.9450132515054103E-2</v>
      </c>
      <c r="D41" s="147">
        <v>9.2152301182524002E-2</v>
      </c>
      <c r="E41" s="147">
        <v>0.86216113429103602</v>
      </c>
      <c r="F41" s="147">
        <v>0.39108302933282402</v>
      </c>
      <c r="G41" s="24"/>
      <c r="H41" s="24"/>
    </row>
    <row r="42" spans="1:8">
      <c r="A42" s="322" t="s">
        <v>277</v>
      </c>
      <c r="B42" s="322"/>
      <c r="C42" s="322"/>
      <c r="D42" s="322"/>
      <c r="E42" s="322"/>
      <c r="F42" s="322"/>
    </row>
    <row r="43" spans="1:8" ht="30.75" thickBot="1">
      <c r="A43" s="131" t="s">
        <v>278</v>
      </c>
      <c r="B43" s="136" t="s">
        <v>268</v>
      </c>
      <c r="C43" s="136" t="s">
        <v>269</v>
      </c>
      <c r="D43" s="136" t="s">
        <v>270</v>
      </c>
      <c r="E43" s="136" t="s">
        <v>271</v>
      </c>
      <c r="F43" s="136" t="s">
        <v>272</v>
      </c>
      <c r="G43" s="142" t="s">
        <v>296</v>
      </c>
      <c r="H43" s="142" t="s">
        <v>297</v>
      </c>
    </row>
    <row r="44" spans="1:8">
      <c r="A44" s="319">
        <v>1</v>
      </c>
      <c r="B44" s="141" t="s">
        <v>273</v>
      </c>
      <c r="C44" s="136">
        <v>15.968764433452099</v>
      </c>
      <c r="D44" s="136">
        <v>6.0739159667387499</v>
      </c>
      <c r="E44" s="136">
        <v>2.62907233503037</v>
      </c>
      <c r="F44" s="136">
        <v>1.0381594183677199E-2</v>
      </c>
    </row>
    <row r="45" spans="1:8">
      <c r="A45" s="320"/>
      <c r="B45" s="141" t="s">
        <v>0</v>
      </c>
      <c r="C45" s="136">
        <v>-0.11375403454394201</v>
      </c>
      <c r="D45" s="136">
        <v>4.92594069098082E-2</v>
      </c>
      <c r="E45" s="136">
        <v>-2.3092855086992898</v>
      </c>
      <c r="F45" s="136">
        <v>2.3682871947817801E-2</v>
      </c>
    </row>
    <row r="46" spans="1:8">
      <c r="A46" s="320"/>
      <c r="B46" s="141" t="s">
        <v>1</v>
      </c>
      <c r="C46" s="136">
        <v>-0.153118599812675</v>
      </c>
      <c r="D46" s="136">
        <v>0.98201781608521399</v>
      </c>
      <c r="E46" s="136">
        <v>-0.15592242554527</v>
      </c>
      <c r="F46" s="136">
        <v>0.87651308900735203</v>
      </c>
    </row>
    <row r="47" spans="1:8">
      <c r="A47" s="320"/>
      <c r="B47" s="141" t="s">
        <v>38</v>
      </c>
      <c r="C47" s="136">
        <v>0.242300949808362</v>
      </c>
      <c r="D47" s="136">
        <v>0.190916004351602</v>
      </c>
      <c r="E47" s="136">
        <v>1.2691494913235599</v>
      </c>
      <c r="F47" s="136">
        <v>0.208312218157509</v>
      </c>
    </row>
    <row r="48" spans="1:8">
      <c r="A48" s="320"/>
      <c r="B48" s="141" t="s">
        <v>190</v>
      </c>
      <c r="C48" s="136">
        <v>0.62849156191606004</v>
      </c>
      <c r="D48" s="136">
        <v>0.25848442046243197</v>
      </c>
      <c r="E48" s="136">
        <v>2.4314485213139001</v>
      </c>
      <c r="F48" s="136">
        <v>1.7426242368091701E-2</v>
      </c>
    </row>
    <row r="49" spans="1:8">
      <c r="A49" s="320"/>
      <c r="B49" s="141" t="s">
        <v>71</v>
      </c>
      <c r="C49" s="136">
        <v>-1.2323418023946799</v>
      </c>
      <c r="D49" s="136">
        <v>1.1256704547630501</v>
      </c>
      <c r="E49" s="136">
        <v>-1.09476250103241</v>
      </c>
      <c r="F49" s="136">
        <v>0.27712406585933902</v>
      </c>
    </row>
    <row r="50" spans="1:8">
      <c r="A50" s="320"/>
      <c r="B50" s="141" t="s">
        <v>14</v>
      </c>
      <c r="C50" s="136">
        <v>1.0887696722982401</v>
      </c>
      <c r="D50" s="136">
        <v>0.84500703425465395</v>
      </c>
      <c r="E50" s="136">
        <v>1.2884740933057399</v>
      </c>
      <c r="F50" s="136">
        <v>0.201541637897973</v>
      </c>
    </row>
    <row r="51" spans="1:8">
      <c r="A51" s="320"/>
      <c r="B51" s="141" t="s">
        <v>125</v>
      </c>
      <c r="C51" s="136">
        <v>-1.74347396964133E-6</v>
      </c>
      <c r="D51" s="136">
        <v>2.81812179805455E-6</v>
      </c>
      <c r="E51" s="136">
        <v>-0.61866522974447402</v>
      </c>
      <c r="F51" s="136">
        <v>0.53801143164621701</v>
      </c>
    </row>
    <row r="52" spans="1:8">
      <c r="A52" s="320"/>
      <c r="B52" s="141" t="s">
        <v>52</v>
      </c>
      <c r="C52" s="136">
        <v>-1.35243483531408</v>
      </c>
      <c r="D52" s="136">
        <v>0.97174066862361497</v>
      </c>
      <c r="E52" s="136">
        <v>-1.3917651889878</v>
      </c>
      <c r="F52" s="136">
        <v>0.16810744030320099</v>
      </c>
    </row>
    <row r="53" spans="1:8">
      <c r="A53" s="320"/>
      <c r="B53" s="141" t="s">
        <v>73</v>
      </c>
      <c r="C53" s="136">
        <v>5.9073966493757603E-2</v>
      </c>
      <c r="D53" s="136">
        <v>0.17124389277909999</v>
      </c>
      <c r="E53" s="136">
        <v>0.34496977109695498</v>
      </c>
      <c r="F53" s="136">
        <v>0.73108266487210904</v>
      </c>
    </row>
    <row r="54" spans="1:8">
      <c r="A54" s="320"/>
      <c r="B54" s="141" t="s">
        <v>284</v>
      </c>
      <c r="C54" s="136">
        <v>-1.96764672240225</v>
      </c>
      <c r="D54" s="136">
        <v>1.34174546516566</v>
      </c>
      <c r="E54" s="136">
        <v>-1.46648285646287</v>
      </c>
      <c r="F54" s="136">
        <v>0.14669734621348199</v>
      </c>
    </row>
    <row r="55" spans="1:8">
      <c r="A55" s="320"/>
      <c r="B55" s="141" t="s">
        <v>285</v>
      </c>
      <c r="C55" s="136">
        <v>-2.3221779666982099</v>
      </c>
      <c r="D55" s="136">
        <v>1.87948654019678</v>
      </c>
      <c r="E55" s="136">
        <v>-1.2355384925795101</v>
      </c>
      <c r="F55" s="136">
        <v>0.22048634195314801</v>
      </c>
    </row>
    <row r="56" spans="1:8">
      <c r="A56" s="320"/>
      <c r="B56" s="141" t="s">
        <v>267</v>
      </c>
      <c r="C56" s="136">
        <v>4.0421751187470198E-2</v>
      </c>
      <c r="D56" s="136">
        <v>5.7153673815807E-2</v>
      </c>
      <c r="E56" s="136">
        <v>0.70724676978316503</v>
      </c>
      <c r="F56" s="136">
        <v>0.481604968663989</v>
      </c>
    </row>
    <row r="57" spans="1:8" ht="30.75" thickBot="1">
      <c r="A57" s="80"/>
      <c r="B57" s="141" t="s">
        <v>268</v>
      </c>
      <c r="C57" s="137" t="s">
        <v>269</v>
      </c>
      <c r="D57" s="137" t="s">
        <v>270</v>
      </c>
      <c r="E57" s="137" t="s">
        <v>271</v>
      </c>
      <c r="F57" s="137" t="s">
        <v>272</v>
      </c>
      <c r="G57" s="142" t="s">
        <v>298</v>
      </c>
      <c r="H57" s="142" t="s">
        <v>299</v>
      </c>
    </row>
    <row r="58" spans="1:8">
      <c r="A58" s="319">
        <v>2</v>
      </c>
      <c r="B58" s="146" t="s">
        <v>273</v>
      </c>
      <c r="C58" s="146">
        <v>17.246002183064601</v>
      </c>
      <c r="D58" s="146">
        <v>3.3963584425472799</v>
      </c>
      <c r="E58" s="146">
        <v>5.0777921337801999</v>
      </c>
      <c r="F58" s="146">
        <v>2.3059364750050302E-6</v>
      </c>
      <c r="G58" s="25"/>
      <c r="H58" s="25"/>
    </row>
    <row r="59" spans="1:8">
      <c r="A59" s="320"/>
      <c r="B59" s="146" t="s">
        <v>0</v>
      </c>
      <c r="C59" s="146">
        <v>-8.6086740938781506E-2</v>
      </c>
      <c r="D59" s="146">
        <v>4.585992617279E-2</v>
      </c>
      <c r="E59" s="146">
        <v>-1.87716701972929</v>
      </c>
      <c r="F59" s="146">
        <v>6.4008403500532801E-2</v>
      </c>
      <c r="G59" s="25"/>
      <c r="H59" s="25"/>
    </row>
    <row r="60" spans="1:8">
      <c r="A60" s="320"/>
      <c r="B60" s="146" t="s">
        <v>1</v>
      </c>
      <c r="C60" s="146">
        <v>-0.91504407256023101</v>
      </c>
      <c r="D60" s="146">
        <v>0.91199198918409896</v>
      </c>
      <c r="E60" s="146">
        <v>-1.0033466120451999</v>
      </c>
      <c r="F60" s="146">
        <v>0.318609856199842</v>
      </c>
      <c r="G60" s="25"/>
      <c r="H60" s="25"/>
    </row>
    <row r="61" spans="1:8">
      <c r="A61" s="320"/>
      <c r="B61" s="146" t="s">
        <v>38</v>
      </c>
      <c r="C61" s="146">
        <v>0.37775388371796498</v>
      </c>
      <c r="D61" s="146">
        <v>0.140113204803578</v>
      </c>
      <c r="E61" s="146">
        <v>2.6960619753686501</v>
      </c>
      <c r="F61" s="146">
        <v>8.4934583577726801E-3</v>
      </c>
      <c r="G61" s="25"/>
      <c r="H61" s="25"/>
    </row>
    <row r="62" spans="1:8">
      <c r="A62" s="321"/>
      <c r="B62" s="147" t="s">
        <v>267</v>
      </c>
      <c r="C62" s="147">
        <v>2.6535585191705198E-3</v>
      </c>
      <c r="D62" s="147">
        <v>5.63935844867011E-2</v>
      </c>
      <c r="E62" s="147">
        <v>4.7054262347808101E-2</v>
      </c>
      <c r="F62" s="147">
        <v>0.96258301591194895</v>
      </c>
      <c r="G62" s="24"/>
      <c r="H62" s="24"/>
    </row>
    <row r="63" spans="1:8">
      <c r="A63" s="322" t="s">
        <v>279</v>
      </c>
      <c r="B63" s="322"/>
      <c r="C63" s="322"/>
      <c r="D63" s="322"/>
      <c r="E63" s="322"/>
      <c r="F63" s="322"/>
    </row>
    <row r="64" spans="1:8" ht="71.25" customHeight="1" thickBot="1">
      <c r="A64" s="131" t="s">
        <v>280</v>
      </c>
      <c r="B64" s="138" t="s">
        <v>268</v>
      </c>
      <c r="C64" s="138" t="s">
        <v>269</v>
      </c>
      <c r="D64" s="138" t="s">
        <v>270</v>
      </c>
      <c r="E64" s="138" t="s">
        <v>271</v>
      </c>
      <c r="F64" s="138" t="s">
        <v>272</v>
      </c>
      <c r="G64" s="142" t="s">
        <v>300</v>
      </c>
      <c r="H64" s="142" t="s">
        <v>301</v>
      </c>
    </row>
    <row r="65" spans="1:8">
      <c r="A65" s="319">
        <v>1</v>
      </c>
      <c r="B65" s="141" t="s">
        <v>273</v>
      </c>
      <c r="C65" s="138">
        <v>3.17481542304259</v>
      </c>
      <c r="D65" s="138">
        <v>3.0529938046616998</v>
      </c>
      <c r="E65" s="138">
        <v>1.03990234706499</v>
      </c>
      <c r="F65" s="138">
        <v>0.30172610648903098</v>
      </c>
    </row>
    <row r="66" spans="1:8">
      <c r="A66" s="320"/>
      <c r="B66" s="141" t="s">
        <v>0</v>
      </c>
      <c r="C66" s="138">
        <v>-2.8008340526919102E-2</v>
      </c>
      <c r="D66" s="138">
        <v>2.4759753829406698E-2</v>
      </c>
      <c r="E66" s="138">
        <v>-1.1312043213311</v>
      </c>
      <c r="F66" s="138">
        <v>0.261573304283995</v>
      </c>
    </row>
    <row r="67" spans="1:8">
      <c r="A67" s="320"/>
      <c r="B67" s="141" t="s">
        <v>1</v>
      </c>
      <c r="C67" s="138">
        <v>0.439671455423437</v>
      </c>
      <c r="D67" s="138">
        <v>0.493601545525716</v>
      </c>
      <c r="E67" s="138">
        <v>0.89074165064690003</v>
      </c>
      <c r="F67" s="138">
        <v>0.37591636361723102</v>
      </c>
    </row>
    <row r="68" spans="1:8">
      <c r="A68" s="320"/>
      <c r="B68" s="141" t="s">
        <v>38</v>
      </c>
      <c r="C68" s="138">
        <v>0.17475373685592099</v>
      </c>
      <c r="D68" s="138">
        <v>9.5962041899826295E-2</v>
      </c>
      <c r="E68" s="138">
        <v>1.82107147155481</v>
      </c>
      <c r="F68" s="138">
        <v>7.2584230690316096E-2</v>
      </c>
    </row>
    <row r="69" spans="1:8">
      <c r="A69" s="320"/>
      <c r="B69" s="141" t="s">
        <v>190</v>
      </c>
      <c r="C69" s="138">
        <v>0.23358633695297701</v>
      </c>
      <c r="D69" s="138">
        <v>0.12992463817326899</v>
      </c>
      <c r="E69" s="138">
        <v>1.7978602075571199</v>
      </c>
      <c r="F69" s="138">
        <v>7.62237118994607E-2</v>
      </c>
    </row>
    <row r="70" spans="1:8">
      <c r="A70" s="320"/>
      <c r="B70" s="141" t="s">
        <v>71</v>
      </c>
      <c r="C70" s="138">
        <v>-0.55862948370850296</v>
      </c>
      <c r="D70" s="138">
        <v>0.56580712398751598</v>
      </c>
      <c r="E70" s="138">
        <v>-0.987314333852093</v>
      </c>
      <c r="F70" s="138">
        <v>0.326663109306431</v>
      </c>
    </row>
    <row r="71" spans="1:8">
      <c r="A71" s="320"/>
      <c r="B71" s="141" t="s">
        <v>14</v>
      </c>
      <c r="C71" s="138">
        <v>0.93145864284358004</v>
      </c>
      <c r="D71" s="138">
        <v>0.42473443073664702</v>
      </c>
      <c r="E71" s="138">
        <v>2.1930377559174699</v>
      </c>
      <c r="F71" s="138">
        <v>3.1404919701696198E-2</v>
      </c>
    </row>
    <row r="72" spans="1:8">
      <c r="A72" s="320"/>
      <c r="B72" s="141" t="s">
        <v>125</v>
      </c>
      <c r="C72" s="138">
        <v>1.6718603472709601E-7</v>
      </c>
      <c r="D72" s="138">
        <v>1.4165010575314601E-6</v>
      </c>
      <c r="E72" s="138">
        <v>0.11802746905000699</v>
      </c>
      <c r="F72" s="138">
        <v>0.90636142368866701</v>
      </c>
    </row>
    <row r="73" spans="1:8">
      <c r="A73" s="320"/>
      <c r="B73" s="141" t="s">
        <v>52</v>
      </c>
      <c r="C73" s="138">
        <v>-0.94551037588189402</v>
      </c>
      <c r="D73" s="138">
        <v>0.48843583896973503</v>
      </c>
      <c r="E73" s="138">
        <v>-1.9357923814032001</v>
      </c>
      <c r="F73" s="138">
        <v>5.6662109091047401E-2</v>
      </c>
    </row>
    <row r="74" spans="1:8">
      <c r="A74" s="320"/>
      <c r="B74" s="141" t="s">
        <v>73</v>
      </c>
      <c r="C74" s="138">
        <v>3.9739253583008102E-2</v>
      </c>
      <c r="D74" s="138">
        <v>8.6074049526479304E-2</v>
      </c>
      <c r="E74" s="138">
        <v>0.46168681271098999</v>
      </c>
      <c r="F74" s="138">
        <v>0.64564227697863796</v>
      </c>
    </row>
    <row r="75" spans="1:8">
      <c r="A75" s="320"/>
      <c r="B75" s="141" t="s">
        <v>284</v>
      </c>
      <c r="C75" s="138">
        <v>-0.88137161683915399</v>
      </c>
      <c r="D75" s="138">
        <v>0.674415091518484</v>
      </c>
      <c r="E75" s="138">
        <v>-1.3068681705427101</v>
      </c>
      <c r="F75" s="138">
        <v>0.19525045003380601</v>
      </c>
    </row>
    <row r="76" spans="1:8">
      <c r="A76" s="320"/>
      <c r="B76" s="141" t="s">
        <v>285</v>
      </c>
      <c r="C76" s="138">
        <v>-2.0128979698894001</v>
      </c>
      <c r="D76" s="138">
        <v>0.94470532595246803</v>
      </c>
      <c r="E76" s="138">
        <v>-2.1307151707438101</v>
      </c>
      <c r="F76" s="138">
        <v>3.6390710621012297E-2</v>
      </c>
    </row>
    <row r="77" spans="1:8">
      <c r="A77" s="320"/>
      <c r="B77" s="141" t="s">
        <v>267</v>
      </c>
      <c r="C77" s="138">
        <v>5.6765052998396702E-2</v>
      </c>
      <c r="D77" s="138">
        <v>2.8727729034914998E-2</v>
      </c>
      <c r="E77" s="138">
        <v>1.9759672938089099</v>
      </c>
      <c r="F77" s="138">
        <v>5.1836800850783703E-2</v>
      </c>
    </row>
    <row r="78" spans="1:8" ht="30.75" thickBot="1">
      <c r="A78" s="80"/>
      <c r="B78" s="141" t="s">
        <v>268</v>
      </c>
      <c r="C78" s="139" t="s">
        <v>269</v>
      </c>
      <c r="D78" s="139" t="s">
        <v>270</v>
      </c>
      <c r="E78" s="139" t="s">
        <v>271</v>
      </c>
      <c r="F78" s="139" t="s">
        <v>272</v>
      </c>
      <c r="G78" s="142" t="s">
        <v>302</v>
      </c>
      <c r="H78" s="142" t="s">
        <v>303</v>
      </c>
    </row>
    <row r="79" spans="1:8">
      <c r="A79" s="319">
        <v>2</v>
      </c>
      <c r="B79" s="146" t="s">
        <v>273</v>
      </c>
      <c r="C79" s="146">
        <v>4.2387520183329501</v>
      </c>
      <c r="D79" s="146">
        <v>1.74048998964044</v>
      </c>
      <c r="E79" s="146">
        <v>2.4353785678529598</v>
      </c>
      <c r="F79" s="146">
        <v>1.7017852853695201E-2</v>
      </c>
      <c r="G79" s="25"/>
      <c r="H79" s="25"/>
    </row>
    <row r="80" spans="1:8">
      <c r="A80" s="320"/>
      <c r="B80" s="146" t="s">
        <v>0</v>
      </c>
      <c r="C80" s="146">
        <v>-4.3245532896650004E-3</v>
      </c>
      <c r="D80" s="146">
        <v>2.35012716648147E-2</v>
      </c>
      <c r="E80" s="146">
        <v>-0.184013586640912</v>
      </c>
      <c r="F80" s="146">
        <v>0.85445162552995602</v>
      </c>
      <c r="G80" s="25"/>
      <c r="H80" s="25"/>
    </row>
    <row r="81" spans="1:8">
      <c r="A81" s="320"/>
      <c r="B81" s="146" t="s">
        <v>1</v>
      </c>
      <c r="C81" s="146">
        <v>0.16899277721490399</v>
      </c>
      <c r="D81" s="146">
        <v>0.46735730478927501</v>
      </c>
      <c r="E81" s="146">
        <v>0.361592245340214</v>
      </c>
      <c r="F81" s="146">
        <v>0.71857564253433404</v>
      </c>
      <c r="G81" s="25"/>
      <c r="H81" s="25"/>
    </row>
    <row r="82" spans="1:8">
      <c r="A82" s="320"/>
      <c r="B82" s="146" t="s">
        <v>38</v>
      </c>
      <c r="C82" s="146">
        <v>0.23229568716447599</v>
      </c>
      <c r="D82" s="146">
        <v>7.1802088767217304E-2</v>
      </c>
      <c r="E82" s="146">
        <v>3.2352218598762401</v>
      </c>
      <c r="F82" s="146">
        <v>1.74624515358611E-3</v>
      </c>
      <c r="G82" s="25"/>
      <c r="H82" s="25"/>
    </row>
    <row r="83" spans="1:8">
      <c r="A83" s="321"/>
      <c r="B83" s="147" t="s">
        <v>267</v>
      </c>
      <c r="C83" s="147">
        <v>3.2989080556015599E-2</v>
      </c>
      <c r="D83" s="147">
        <v>2.88993258336511E-2</v>
      </c>
      <c r="E83" s="147">
        <v>1.1415173054868399</v>
      </c>
      <c r="F83" s="147">
        <v>0.25693742327660901</v>
      </c>
      <c r="G83" s="24"/>
      <c r="H83" s="24"/>
    </row>
    <row r="84" spans="1:8">
      <c r="A84" s="322" t="s">
        <v>281</v>
      </c>
      <c r="B84" s="322"/>
      <c r="C84" s="322"/>
      <c r="D84" s="322"/>
      <c r="E84" s="322"/>
      <c r="F84" s="322"/>
    </row>
    <row r="85" spans="1:8" ht="54" customHeight="1" thickBot="1">
      <c r="A85" s="131" t="s">
        <v>282</v>
      </c>
      <c r="B85" s="140" t="s">
        <v>268</v>
      </c>
      <c r="C85" s="140" t="s">
        <v>269</v>
      </c>
      <c r="D85" s="140" t="s">
        <v>270</v>
      </c>
      <c r="E85" s="140" t="s">
        <v>271</v>
      </c>
      <c r="F85" s="140" t="s">
        <v>272</v>
      </c>
      <c r="G85" s="142" t="s">
        <v>304</v>
      </c>
      <c r="H85" s="142" t="s">
        <v>305</v>
      </c>
    </row>
    <row r="86" spans="1:8">
      <c r="A86" s="319">
        <v>1</v>
      </c>
      <c r="B86" s="141" t="s">
        <v>273</v>
      </c>
      <c r="C86" s="140">
        <v>7.6940576197684099</v>
      </c>
      <c r="D86" s="140">
        <v>2.1085397491341902</v>
      </c>
      <c r="E86" s="140">
        <v>3.64899813860647</v>
      </c>
      <c r="F86" s="140">
        <v>4.8396071762548201E-4</v>
      </c>
    </row>
    <row r="87" spans="1:8">
      <c r="A87" s="320"/>
      <c r="B87" s="141" t="s">
        <v>0</v>
      </c>
      <c r="C87" s="140">
        <v>-9.6352748689815994E-3</v>
      </c>
      <c r="D87" s="140">
        <v>1.71002394594989E-2</v>
      </c>
      <c r="E87" s="140">
        <v>-0.56345847622790901</v>
      </c>
      <c r="F87" s="140">
        <v>0.57480355682036099</v>
      </c>
    </row>
    <row r="88" spans="1:8">
      <c r="A88" s="320"/>
      <c r="B88" s="141" t="s">
        <v>1</v>
      </c>
      <c r="C88" s="140">
        <v>2.2388038674731998E-2</v>
      </c>
      <c r="D88" s="140">
        <v>0.34090422240158202</v>
      </c>
      <c r="E88" s="140">
        <v>6.5672517978844699E-2</v>
      </c>
      <c r="F88" s="140">
        <v>0.94781329429623695</v>
      </c>
    </row>
    <row r="89" spans="1:8">
      <c r="A89" s="320"/>
      <c r="B89" s="141" t="s">
        <v>38</v>
      </c>
      <c r="C89" s="140">
        <v>5.5916635229847897E-2</v>
      </c>
      <c r="D89" s="140">
        <v>6.62758566509066E-2</v>
      </c>
      <c r="E89" s="140">
        <v>0.84369539762234003</v>
      </c>
      <c r="F89" s="140">
        <v>0.40152259676852597</v>
      </c>
    </row>
    <row r="90" spans="1:8">
      <c r="A90" s="320"/>
      <c r="B90" s="141" t="s">
        <v>190</v>
      </c>
      <c r="C90" s="140">
        <v>9.6477053054289302E-2</v>
      </c>
      <c r="D90" s="140">
        <v>8.9732007828483701E-2</v>
      </c>
      <c r="E90" s="140">
        <v>1.0751687763267099</v>
      </c>
      <c r="F90" s="140">
        <v>0.28574589510932502</v>
      </c>
    </row>
    <row r="91" spans="1:8">
      <c r="A91" s="320"/>
      <c r="B91" s="141" t="s">
        <v>71</v>
      </c>
      <c r="C91" s="140">
        <v>-0.74246847920765202</v>
      </c>
      <c r="D91" s="140">
        <v>0.39077275867684802</v>
      </c>
      <c r="E91" s="140">
        <v>-1.90000060833729</v>
      </c>
      <c r="F91" s="140">
        <v>6.1277075164191001E-2</v>
      </c>
    </row>
    <row r="92" spans="1:8">
      <c r="A92" s="320"/>
      <c r="B92" s="141" t="s">
        <v>14</v>
      </c>
      <c r="C92" s="140">
        <v>0.53923729579101998</v>
      </c>
      <c r="D92" s="140">
        <v>0.293341384665319</v>
      </c>
      <c r="E92" s="140">
        <v>1.8382585069142201</v>
      </c>
      <c r="F92" s="140">
        <v>6.9983822957658107E-2</v>
      </c>
    </row>
    <row r="93" spans="1:8">
      <c r="A93" s="320"/>
      <c r="B93" s="141" t="s">
        <v>125</v>
      </c>
      <c r="C93" s="140">
        <v>-6.2286050573902901E-8</v>
      </c>
      <c r="D93" s="140">
        <v>9.7830161985102911E-7</v>
      </c>
      <c r="E93" s="140">
        <v>-6.3667532906045404E-2</v>
      </c>
      <c r="F93" s="140">
        <v>0.94940434231610604</v>
      </c>
    </row>
    <row r="94" spans="1:8">
      <c r="A94" s="320"/>
      <c r="B94" s="141" t="s">
        <v>52</v>
      </c>
      <c r="C94" s="140">
        <v>-0.50603172102762095</v>
      </c>
      <c r="D94" s="140">
        <v>0.337336544802952</v>
      </c>
      <c r="E94" s="140">
        <v>-1.5000797536573101</v>
      </c>
      <c r="F94" s="140">
        <v>0.13779180280349601</v>
      </c>
    </row>
    <row r="95" spans="1:8">
      <c r="A95" s="320"/>
      <c r="B95" s="141" t="s">
        <v>73</v>
      </c>
      <c r="C95" s="140">
        <v>8.5079497013450703E-2</v>
      </c>
      <c r="D95" s="140">
        <v>5.9446748473057497E-2</v>
      </c>
      <c r="E95" s="140">
        <v>1.43118840304631</v>
      </c>
      <c r="F95" s="140">
        <v>0.156530048439673</v>
      </c>
    </row>
    <row r="96" spans="1:8">
      <c r="A96" s="320"/>
      <c r="B96" s="141" t="s">
        <v>284</v>
      </c>
      <c r="C96" s="140">
        <v>-0.52665529246451703</v>
      </c>
      <c r="D96" s="140">
        <v>0.46578248069529699</v>
      </c>
      <c r="E96" s="140">
        <v>-1.1306893545638601</v>
      </c>
      <c r="F96" s="140">
        <v>0.26178868221400797</v>
      </c>
    </row>
    <row r="97" spans="1:8">
      <c r="A97" s="320"/>
      <c r="B97" s="141" t="s">
        <v>285</v>
      </c>
      <c r="C97" s="140">
        <v>-0.76263799004108601</v>
      </c>
      <c r="D97" s="140">
        <v>0.65245750841288797</v>
      </c>
      <c r="E97" s="140">
        <v>-1.16886997269173</v>
      </c>
      <c r="F97" s="140">
        <v>0.24615778591704901</v>
      </c>
    </row>
    <row r="98" spans="1:8">
      <c r="A98" s="320"/>
      <c r="B98" s="141" t="s">
        <v>267</v>
      </c>
      <c r="C98" s="140">
        <v>3.8631790043836399E-2</v>
      </c>
      <c r="D98" s="140">
        <v>1.9840707989640601E-2</v>
      </c>
      <c r="E98" s="140">
        <v>1.94709735479233</v>
      </c>
      <c r="F98" s="140">
        <v>5.5267187247034999E-2</v>
      </c>
    </row>
    <row r="99" spans="1:8" ht="30.75" thickBot="1">
      <c r="A99" s="80"/>
      <c r="B99" s="141" t="s">
        <v>268</v>
      </c>
      <c r="C99" s="141" t="s">
        <v>269</v>
      </c>
      <c r="D99" s="141" t="s">
        <v>270</v>
      </c>
      <c r="E99" s="141" t="s">
        <v>271</v>
      </c>
      <c r="F99" s="141" t="s">
        <v>272</v>
      </c>
      <c r="G99" s="142" t="s">
        <v>306</v>
      </c>
      <c r="H99" s="142" t="s">
        <v>307</v>
      </c>
    </row>
    <row r="100" spans="1:8">
      <c r="A100" s="319">
        <v>2</v>
      </c>
      <c r="B100" s="146" t="s">
        <v>273</v>
      </c>
      <c r="C100" s="146">
        <v>9.2308393577068593</v>
      </c>
      <c r="D100" s="146">
        <v>1.1844057463375799</v>
      </c>
      <c r="E100" s="146">
        <v>7.7936462114021596</v>
      </c>
      <c r="F100" s="146">
        <v>1.6732784152430699E-11</v>
      </c>
      <c r="G100" s="25"/>
      <c r="H100" s="25"/>
    </row>
    <row r="101" spans="1:8">
      <c r="A101" s="320"/>
      <c r="B101" s="146" t="s">
        <v>0</v>
      </c>
      <c r="C101" s="146">
        <v>5.2098730505945002E-3</v>
      </c>
      <c r="D101" s="146">
        <v>1.5992646537310799E-2</v>
      </c>
      <c r="E101" s="146">
        <v>0.32576678528096598</v>
      </c>
      <c r="F101" s="146">
        <v>0.74542068569869002</v>
      </c>
      <c r="G101" s="25"/>
      <c r="H101" s="25"/>
    </row>
    <row r="102" spans="1:8">
      <c r="A102" s="320"/>
      <c r="B102" s="146" t="s">
        <v>1</v>
      </c>
      <c r="C102" s="146">
        <v>-8.8297589781863403E-2</v>
      </c>
      <c r="D102" s="146">
        <v>0.31803726575848701</v>
      </c>
      <c r="E102" s="146">
        <v>-0.27763284145737599</v>
      </c>
      <c r="F102" s="146">
        <v>0.78198458576256202</v>
      </c>
      <c r="G102" s="25"/>
      <c r="H102" s="25"/>
    </row>
    <row r="103" spans="1:8">
      <c r="A103" s="320"/>
      <c r="B103" s="146" t="s">
        <v>38</v>
      </c>
      <c r="C103" s="146">
        <v>9.2633523099310694E-2</v>
      </c>
      <c r="D103" s="146">
        <v>4.8861416636186497E-2</v>
      </c>
      <c r="E103" s="146">
        <v>1.89584194394206</v>
      </c>
      <c r="F103" s="146">
        <v>6.1461023085359799E-2</v>
      </c>
      <c r="G103" s="25"/>
      <c r="H103" s="25"/>
    </row>
    <row r="104" spans="1:8">
      <c r="A104" s="321"/>
      <c r="B104" s="147" t="s">
        <v>267</v>
      </c>
      <c r="C104" s="147">
        <v>2.3211620662196002E-2</v>
      </c>
      <c r="D104" s="147">
        <v>1.9666029558566899E-2</v>
      </c>
      <c r="E104" s="147">
        <v>1.1802901339627401</v>
      </c>
      <c r="F104" s="147">
        <v>0.241256423509596</v>
      </c>
      <c r="G104" s="24"/>
      <c r="H104" s="24"/>
    </row>
    <row r="105" spans="1:8">
      <c r="A105" s="322" t="s">
        <v>283</v>
      </c>
      <c r="B105" s="322"/>
      <c r="C105" s="322"/>
      <c r="D105" s="322"/>
      <c r="E105" s="322"/>
      <c r="F105" s="322"/>
    </row>
  </sheetData>
  <mergeCells count="15">
    <mergeCell ref="A42:F42"/>
    <mergeCell ref="A21:F21"/>
    <mergeCell ref="A2:A14"/>
    <mergeCell ref="A16:A20"/>
    <mergeCell ref="A23:A35"/>
    <mergeCell ref="A37:A41"/>
    <mergeCell ref="A86:A98"/>
    <mergeCell ref="A100:A104"/>
    <mergeCell ref="A105:F105"/>
    <mergeCell ref="A44:A56"/>
    <mergeCell ref="A58:A62"/>
    <mergeCell ref="A63:F63"/>
    <mergeCell ref="A65:A77"/>
    <mergeCell ref="A79:A83"/>
    <mergeCell ref="A84:F8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4"/>
  <sheetViews>
    <sheetView topLeftCell="A34" zoomScale="250" zoomScaleNormal="250" workbookViewId="0">
      <selection activeCell="A45" sqref="A45"/>
    </sheetView>
  </sheetViews>
  <sheetFormatPr baseColWidth="10" defaultColWidth="9.140625" defaultRowHeight="15"/>
  <cols>
    <col min="1" max="1" width="17" customWidth="1"/>
    <col min="3" max="3" width="20" bestFit="1" customWidth="1"/>
    <col min="4" max="4" width="16.140625" customWidth="1"/>
    <col min="5" max="5" width="7.140625" customWidth="1"/>
  </cols>
  <sheetData>
    <row r="1" spans="1:3">
      <c r="A1" s="12" t="s">
        <v>26</v>
      </c>
      <c r="B1" s="12" t="s">
        <v>28</v>
      </c>
      <c r="C1" s="12" t="s">
        <v>27</v>
      </c>
    </row>
    <row r="2" spans="1:3">
      <c r="A2" s="325" t="s">
        <v>1</v>
      </c>
      <c r="B2" s="13">
        <v>1</v>
      </c>
      <c r="C2" s="3" t="s">
        <v>9</v>
      </c>
    </row>
    <row r="3" spans="1:3">
      <c r="A3" s="325"/>
      <c r="B3" s="13">
        <v>2</v>
      </c>
      <c r="C3" s="3" t="s">
        <v>10</v>
      </c>
    </row>
    <row r="4" spans="1:3">
      <c r="A4" s="325" t="s">
        <v>71</v>
      </c>
      <c r="B4" s="13">
        <v>1</v>
      </c>
      <c r="C4" s="3" t="s">
        <v>11</v>
      </c>
    </row>
    <row r="5" spans="1:3">
      <c r="A5" s="325"/>
      <c r="B5" s="13">
        <v>2</v>
      </c>
      <c r="C5" s="3" t="s">
        <v>12</v>
      </c>
    </row>
    <row r="6" spans="1:3">
      <c r="A6" s="325"/>
      <c r="B6" s="13">
        <v>3</v>
      </c>
      <c r="C6" s="3" t="s">
        <v>13</v>
      </c>
    </row>
    <row r="7" spans="1:3">
      <c r="A7" s="325" t="s">
        <v>14</v>
      </c>
      <c r="B7" s="13">
        <v>1</v>
      </c>
      <c r="C7" s="3" t="s">
        <v>15</v>
      </c>
    </row>
    <row r="8" spans="1:3">
      <c r="A8" s="325"/>
      <c r="B8" s="13">
        <v>2</v>
      </c>
      <c r="C8" s="3" t="s">
        <v>16</v>
      </c>
    </row>
    <row r="9" spans="1:3">
      <c r="A9" s="325"/>
      <c r="B9" s="13">
        <v>3</v>
      </c>
      <c r="C9" s="3" t="s">
        <v>17</v>
      </c>
    </row>
    <row r="10" spans="1:3">
      <c r="A10" s="325"/>
      <c r="B10" s="13">
        <v>4</v>
      </c>
      <c r="C10" s="3" t="s">
        <v>18</v>
      </c>
    </row>
    <row r="11" spans="1:3">
      <c r="A11" s="325" t="s">
        <v>72</v>
      </c>
      <c r="B11" s="13">
        <v>1</v>
      </c>
      <c r="C11" s="3" t="s">
        <v>21</v>
      </c>
    </row>
    <row r="12" spans="1:3">
      <c r="A12" s="325"/>
      <c r="B12" s="13">
        <v>2</v>
      </c>
      <c r="C12" s="3" t="s">
        <v>19</v>
      </c>
    </row>
    <row r="13" spans="1:3">
      <c r="A13" s="325"/>
      <c r="B13" s="13">
        <v>3</v>
      </c>
      <c r="C13" s="3" t="s">
        <v>20</v>
      </c>
    </row>
    <row r="14" spans="1:3">
      <c r="A14" s="325"/>
      <c r="B14" s="13">
        <v>4</v>
      </c>
      <c r="C14" s="3" t="s">
        <v>22</v>
      </c>
    </row>
    <row r="15" spans="1:3">
      <c r="A15" s="325" t="s">
        <v>25</v>
      </c>
      <c r="B15" s="13">
        <v>0</v>
      </c>
      <c r="C15" s="3" t="s">
        <v>23</v>
      </c>
    </row>
    <row r="16" spans="1:3">
      <c r="A16" s="325"/>
      <c r="B16" s="13">
        <v>1</v>
      </c>
      <c r="C16" s="3" t="s">
        <v>24</v>
      </c>
    </row>
    <row r="17" spans="1:4">
      <c r="A17" s="324" t="s">
        <v>50</v>
      </c>
      <c r="B17" s="37">
        <v>1</v>
      </c>
      <c r="C17" s="36" t="s">
        <v>68</v>
      </c>
    </row>
    <row r="18" spans="1:4" s="35" customFormat="1">
      <c r="A18" s="324"/>
      <c r="B18" s="37">
        <v>2</v>
      </c>
      <c r="C18" s="36" t="s">
        <v>2</v>
      </c>
    </row>
    <row r="19" spans="1:4" s="35" customFormat="1">
      <c r="A19" s="324"/>
      <c r="B19" s="37">
        <v>3</v>
      </c>
      <c r="C19" s="36" t="s">
        <v>67</v>
      </c>
    </row>
    <row r="20" spans="1:4" s="35" customFormat="1">
      <c r="A20" s="324"/>
      <c r="B20" s="37">
        <v>4</v>
      </c>
      <c r="C20" s="36" t="s">
        <v>4</v>
      </c>
    </row>
    <row r="21" spans="1:4" s="35" customFormat="1">
      <c r="A21" s="324"/>
      <c r="B21" s="37">
        <v>5</v>
      </c>
      <c r="C21" s="36" t="s">
        <v>69</v>
      </c>
    </row>
    <row r="22" spans="1:4" s="35" customFormat="1">
      <c r="A22" s="324"/>
      <c r="B22" s="37">
        <v>6</v>
      </c>
      <c r="C22" s="36" t="s">
        <v>5</v>
      </c>
    </row>
    <row r="23" spans="1:4" s="35" customFormat="1">
      <c r="A23" s="324"/>
      <c r="B23" s="37">
        <v>7</v>
      </c>
      <c r="C23" s="36" t="s">
        <v>70</v>
      </c>
    </row>
    <row r="24" spans="1:4" s="35" customFormat="1">
      <c r="A24" s="324"/>
      <c r="B24" s="37">
        <v>8</v>
      </c>
      <c r="C24" s="36" t="s">
        <v>51</v>
      </c>
    </row>
    <row r="25" spans="1:4" s="35" customFormat="1">
      <c r="A25" s="324"/>
      <c r="B25" s="37">
        <v>9</v>
      </c>
      <c r="C25" s="36" t="s">
        <v>6</v>
      </c>
    </row>
    <row r="26" spans="1:4" s="35" customFormat="1">
      <c r="A26" s="324"/>
      <c r="B26" s="37">
        <v>10</v>
      </c>
      <c r="C26" s="36" t="s">
        <v>7</v>
      </c>
    </row>
    <row r="27" spans="1:4">
      <c r="A27" s="324"/>
      <c r="B27" s="37">
        <v>11</v>
      </c>
      <c r="C27" s="36" t="s">
        <v>8</v>
      </c>
    </row>
    <row r="28" spans="1:4" s="79" customFormat="1">
      <c r="A28" s="324" t="s">
        <v>123</v>
      </c>
      <c r="B28" s="82" t="s">
        <v>148</v>
      </c>
      <c r="C28" s="81" t="s">
        <v>137</v>
      </c>
      <c r="D28" s="323" t="s">
        <v>308</v>
      </c>
    </row>
    <row r="29" spans="1:4" s="79" customFormat="1">
      <c r="A29" s="324"/>
      <c r="B29" s="37" t="s">
        <v>149</v>
      </c>
      <c r="C29" s="81" t="s">
        <v>138</v>
      </c>
      <c r="D29" s="323"/>
    </row>
    <row r="30" spans="1:4">
      <c r="A30" s="324"/>
      <c r="B30" s="82" t="s">
        <v>151</v>
      </c>
      <c r="C30" s="81" t="s">
        <v>139</v>
      </c>
      <c r="D30" s="323"/>
    </row>
    <row r="31" spans="1:4" s="79" customFormat="1">
      <c r="A31" s="324"/>
      <c r="B31" s="83" t="s">
        <v>152</v>
      </c>
      <c r="C31" s="81" t="s">
        <v>146</v>
      </c>
      <c r="D31" s="323"/>
    </row>
    <row r="32" spans="1:4" s="35" customFormat="1">
      <c r="A32" t="s">
        <v>309</v>
      </c>
    </row>
    <row r="33" spans="1:2" s="80" customFormat="1"/>
    <row r="34" spans="1:2">
      <c r="A34" t="s">
        <v>29</v>
      </c>
    </row>
    <row r="35" spans="1:2">
      <c r="A35" t="s">
        <v>30</v>
      </c>
    </row>
    <row r="37" spans="1:2">
      <c r="A37" t="s">
        <v>31</v>
      </c>
    </row>
    <row r="40" spans="1:2">
      <c r="A40" t="s">
        <v>63</v>
      </c>
      <c r="B40" t="s">
        <v>64</v>
      </c>
    </row>
    <row r="41" spans="1:2">
      <c r="A41" t="s">
        <v>65</v>
      </c>
    </row>
    <row r="42" spans="1:2">
      <c r="A42" t="s">
        <v>66</v>
      </c>
    </row>
    <row r="44" spans="1:2">
      <c r="A44" t="s">
        <v>365</v>
      </c>
    </row>
  </sheetData>
  <mergeCells count="8">
    <mergeCell ref="D28:D31"/>
    <mergeCell ref="A28:A31"/>
    <mergeCell ref="A17:A27"/>
    <mergeCell ref="A2:A3"/>
    <mergeCell ref="A4:A6"/>
    <mergeCell ref="A7:A10"/>
    <mergeCell ref="A11:A14"/>
    <mergeCell ref="A15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ANALISIS</vt:lpstr>
      <vt:lpstr>TABLAS</vt:lpstr>
      <vt:lpstr>analisis con dummys</vt:lpstr>
      <vt:lpstr>DATABASE</vt:lpstr>
      <vt:lpstr>Pruebas Aculturación</vt:lpstr>
      <vt:lpstr>Pruebas</vt:lpstr>
      <vt:lpstr>Regresiones</vt:lpstr>
      <vt:lpstr>ANOTACIONES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Carlos Enrique Zapata Bohorquez</cp:lastModifiedBy>
  <dcterms:created xsi:type="dcterms:W3CDTF">2007-02-23T14:58:14Z</dcterms:created>
  <dcterms:modified xsi:type="dcterms:W3CDTF">2020-12-22T14:48:23Z</dcterms:modified>
</cp:coreProperties>
</file>